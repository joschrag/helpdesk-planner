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Studium\Master\Werkstudentenjob\HD WS 2223\Wochenpläne\Tool\helpdesk-planner\"/>
    </mc:Choice>
  </mc:AlternateContent>
  <xr:revisionPtr revIDLastSave="0" documentId="13_ncr:1_{A81C5AB3-4F54-46FC-A506-E8838A9C532B}" xr6:coauthVersionLast="47" xr6:coauthVersionMax="47" xr10:uidLastSave="{00000000-0000-0000-0000-000000000000}"/>
  <bookViews>
    <workbookView xWindow="-120" yWindow="-120" windowWidth="29040" windowHeight="15840" xr2:uid="{E4AF071C-ACF7-4DA4-A0EA-06A3E1A2ADC5}"/>
  </bookViews>
  <sheets>
    <sheet name="Tabelle1" sheetId="1" r:id="rId1"/>
    <sheet name="Tabelle2" sheetId="2" r:id="rId2"/>
    <sheet name="Sprechstundenliste" sheetId="3" r:id="rId3"/>
    <sheet name="Tutorinnen" sheetId="4" r:id="rId4"/>
  </sheets>
  <definedNames>
    <definedName name="DynamicList">Tabelle2!$K:$K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2" l="1"/>
  <c r="A10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T54" i="2"/>
  <c r="S54" i="2" s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T4" i="2"/>
  <c r="T5" i="2" s="1"/>
  <c r="T6" i="2" s="1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3" i="2"/>
  <c r="U2" i="2"/>
  <c r="S2" i="2"/>
  <c r="O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P4" i="2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3" i="2"/>
  <c r="Q2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L12" i="2"/>
  <c r="L13" i="2" s="1"/>
  <c r="K12" i="2"/>
  <c r="D3" i="2"/>
  <c r="C3" i="2" s="1"/>
  <c r="E2" i="2"/>
  <c r="C2" i="2"/>
  <c r="L14" i="2" l="1"/>
  <c r="K13" i="2"/>
  <c r="E3" i="2"/>
  <c r="D4" i="2"/>
  <c r="L15" i="2" l="1"/>
  <c r="K14" i="2"/>
  <c r="D5" i="2"/>
  <c r="C4" i="2"/>
  <c r="E4" i="2"/>
  <c r="L16" i="2" l="1"/>
  <c r="K15" i="2"/>
  <c r="D6" i="2"/>
  <c r="C5" i="2"/>
  <c r="E5" i="2"/>
  <c r="K16" i="2" l="1"/>
  <c r="L17" i="2"/>
  <c r="D7" i="2"/>
  <c r="C6" i="2"/>
  <c r="E6" i="2"/>
  <c r="L18" i="2" l="1"/>
  <c r="K17" i="2"/>
  <c r="D8" i="2"/>
  <c r="C7" i="2"/>
  <c r="E7" i="2"/>
  <c r="K18" i="2" l="1"/>
  <c r="L19" i="2"/>
  <c r="C8" i="2"/>
  <c r="E8" i="2"/>
  <c r="D9" i="2"/>
  <c r="L20" i="2" l="1"/>
  <c r="K19" i="2"/>
  <c r="D10" i="2"/>
  <c r="E9" i="2"/>
  <c r="C9" i="2"/>
  <c r="K20" i="2" l="1"/>
  <c r="L21" i="2"/>
  <c r="D11" i="2"/>
  <c r="E10" i="2"/>
  <c r="C10" i="2"/>
  <c r="L22" i="2" l="1"/>
  <c r="K21" i="2"/>
  <c r="D12" i="2"/>
  <c r="E11" i="2"/>
  <c r="C11" i="2"/>
  <c r="L23" i="2" l="1"/>
  <c r="K22" i="2"/>
  <c r="D13" i="2"/>
  <c r="C12" i="2"/>
  <c r="E12" i="2"/>
  <c r="L24" i="2" l="1"/>
  <c r="K23" i="2"/>
  <c r="D14" i="2"/>
  <c r="C13" i="2"/>
  <c r="E13" i="2"/>
  <c r="L25" i="2" l="1"/>
  <c r="K24" i="2"/>
  <c r="D15" i="2"/>
  <c r="C14" i="2"/>
  <c r="E14" i="2"/>
  <c r="K25" i="2" l="1"/>
  <c r="L26" i="2"/>
  <c r="D16" i="2"/>
  <c r="C15" i="2"/>
  <c r="E15" i="2"/>
  <c r="K26" i="2" l="1"/>
  <c r="L27" i="2"/>
  <c r="D17" i="2"/>
  <c r="E16" i="2"/>
  <c r="C16" i="2"/>
  <c r="L28" i="2" l="1"/>
  <c r="K27" i="2"/>
  <c r="D18" i="2"/>
  <c r="E17" i="2"/>
  <c r="C17" i="2"/>
  <c r="K28" i="2" l="1"/>
  <c r="L29" i="2"/>
  <c r="D19" i="2"/>
  <c r="E18" i="2"/>
  <c r="C18" i="2"/>
  <c r="L30" i="2" l="1"/>
  <c r="K29" i="2"/>
  <c r="D20" i="2"/>
  <c r="C19" i="2"/>
  <c r="E19" i="2"/>
  <c r="L31" i="2" l="1"/>
  <c r="K30" i="2"/>
  <c r="D21" i="2"/>
  <c r="C20" i="2"/>
  <c r="E20" i="2"/>
  <c r="L32" i="2" l="1"/>
  <c r="K31" i="2"/>
  <c r="D22" i="2"/>
  <c r="C21" i="2"/>
  <c r="E21" i="2"/>
  <c r="K32" i="2" l="1"/>
  <c r="L33" i="2"/>
  <c r="D23" i="2"/>
  <c r="C22" i="2"/>
  <c r="E22" i="2"/>
  <c r="L34" i="2" l="1"/>
  <c r="K33" i="2"/>
  <c r="D24" i="2"/>
  <c r="C23" i="2"/>
  <c r="E23" i="2"/>
  <c r="K34" i="2" l="1"/>
  <c r="L35" i="2"/>
  <c r="D25" i="2"/>
  <c r="E24" i="2"/>
  <c r="C24" i="2"/>
  <c r="L36" i="2" l="1"/>
  <c r="K35" i="2"/>
  <c r="D26" i="2"/>
  <c r="E25" i="2"/>
  <c r="C25" i="2"/>
  <c r="K36" i="2" l="1"/>
  <c r="L37" i="2"/>
  <c r="D27" i="2"/>
  <c r="C26" i="2"/>
  <c r="E26" i="2"/>
  <c r="L38" i="2" l="1"/>
  <c r="K37" i="2"/>
  <c r="D28" i="2"/>
  <c r="E27" i="2"/>
  <c r="C27" i="2"/>
  <c r="L39" i="2" l="1"/>
  <c r="K38" i="2"/>
  <c r="D29" i="2"/>
  <c r="C28" i="2"/>
  <c r="E28" i="2"/>
  <c r="L40" i="2" l="1"/>
  <c r="K39" i="2"/>
  <c r="D30" i="2"/>
  <c r="E29" i="2"/>
  <c r="C29" i="2"/>
  <c r="L41" i="2" l="1"/>
  <c r="K40" i="2"/>
  <c r="D31" i="2"/>
  <c r="C30" i="2"/>
  <c r="E30" i="2"/>
  <c r="L42" i="2" l="1"/>
  <c r="K41" i="2"/>
  <c r="D32" i="2"/>
  <c r="C31" i="2"/>
  <c r="E31" i="2"/>
  <c r="K42" i="2" l="1"/>
  <c r="L43" i="2"/>
  <c r="D33" i="2"/>
  <c r="C32" i="2"/>
  <c r="E32" i="2"/>
  <c r="L44" i="2" l="1"/>
  <c r="K43" i="2"/>
  <c r="D34" i="2"/>
  <c r="E33" i="2"/>
  <c r="C33" i="2"/>
  <c r="K44" i="2" l="1"/>
  <c r="L45" i="2"/>
  <c r="D35" i="2"/>
  <c r="E34" i="2"/>
  <c r="C34" i="2"/>
  <c r="L46" i="2" l="1"/>
  <c r="K45" i="2"/>
  <c r="D36" i="2"/>
  <c r="E35" i="2"/>
  <c r="C35" i="2"/>
  <c r="L47" i="2" l="1"/>
  <c r="K46" i="2"/>
  <c r="D37" i="2"/>
  <c r="C36" i="2"/>
  <c r="E36" i="2"/>
  <c r="L48" i="2" l="1"/>
  <c r="K47" i="2"/>
  <c r="D38" i="2"/>
  <c r="E37" i="2"/>
  <c r="C37" i="2"/>
  <c r="K48" i="2" l="1"/>
  <c r="L49" i="2"/>
  <c r="D39" i="2"/>
  <c r="C38" i="2"/>
  <c r="E38" i="2"/>
  <c r="L50" i="2" l="1"/>
  <c r="K49" i="2"/>
  <c r="D40" i="2"/>
  <c r="E39" i="2"/>
  <c r="C39" i="2"/>
  <c r="K50" i="2" l="1"/>
  <c r="L51" i="2"/>
  <c r="D41" i="2"/>
  <c r="C40" i="2"/>
  <c r="E40" i="2"/>
  <c r="L52" i="2" l="1"/>
  <c r="K51" i="2"/>
  <c r="D42" i="2"/>
  <c r="E41" i="2"/>
  <c r="C41" i="2"/>
  <c r="K52" i="2" l="1"/>
  <c r="L53" i="2"/>
  <c r="K53" i="2" s="1"/>
  <c r="D43" i="2"/>
  <c r="E42" i="2"/>
  <c r="C42" i="2"/>
  <c r="D44" i="2" l="1"/>
  <c r="E43" i="2"/>
  <c r="C43" i="2"/>
  <c r="D45" i="2" l="1"/>
  <c r="E44" i="2"/>
  <c r="C44" i="2"/>
  <c r="D46" i="2" l="1"/>
  <c r="C45" i="2"/>
  <c r="E45" i="2"/>
  <c r="D47" i="2" l="1"/>
  <c r="E46" i="2"/>
  <c r="C46" i="2"/>
  <c r="D48" i="2" l="1"/>
  <c r="C47" i="2"/>
  <c r="E47" i="2"/>
  <c r="D49" i="2" l="1"/>
  <c r="C48" i="2"/>
  <c r="E48" i="2"/>
  <c r="D50" i="2" l="1"/>
  <c r="C49" i="2"/>
  <c r="E49" i="2"/>
  <c r="D51" i="2" l="1"/>
  <c r="E50" i="2"/>
  <c r="C50" i="2"/>
  <c r="D52" i="2" l="1"/>
  <c r="C51" i="2"/>
  <c r="E51" i="2"/>
  <c r="D53" i="2" l="1"/>
  <c r="E52" i="2"/>
  <c r="C52" i="2"/>
  <c r="H2" i="2" l="1"/>
  <c r="H3" i="2" s="1"/>
  <c r="E53" i="2"/>
  <c r="C53" i="2"/>
  <c r="H4" i="2" l="1"/>
  <c r="I3" i="2"/>
  <c r="G3" i="2"/>
  <c r="G2" i="2"/>
  <c r="I2" i="2"/>
  <c r="H5" i="2" l="1"/>
  <c r="I4" i="2"/>
  <c r="G4" i="2"/>
  <c r="H6" i="2" l="1"/>
  <c r="I5" i="2"/>
  <c r="G5" i="2"/>
  <c r="H7" i="2" l="1"/>
  <c r="I6" i="2"/>
  <c r="G6" i="2"/>
  <c r="H8" i="2" l="1"/>
  <c r="G7" i="2"/>
  <c r="I7" i="2"/>
  <c r="H9" i="2" l="1"/>
  <c r="G8" i="2"/>
  <c r="I8" i="2"/>
  <c r="H10" i="2" l="1"/>
  <c r="G9" i="2"/>
  <c r="I9" i="2"/>
  <c r="H11" i="2" l="1"/>
  <c r="I10" i="2"/>
  <c r="G10" i="2"/>
  <c r="H12" i="2" l="1"/>
  <c r="I11" i="2"/>
  <c r="G11" i="2"/>
  <c r="H13" i="2" l="1"/>
  <c r="I12" i="2"/>
  <c r="G12" i="2"/>
  <c r="H14" i="2" l="1"/>
  <c r="I13" i="2"/>
  <c r="G13" i="2"/>
  <c r="H15" i="2" l="1"/>
  <c r="I14" i="2"/>
  <c r="G14" i="2"/>
  <c r="H16" i="2" l="1"/>
  <c r="G15" i="2"/>
  <c r="I15" i="2"/>
  <c r="H17" i="2" l="1"/>
  <c r="G16" i="2"/>
  <c r="I16" i="2"/>
  <c r="H18" i="2" l="1"/>
  <c r="G17" i="2"/>
  <c r="I17" i="2"/>
  <c r="H19" i="2" l="1"/>
  <c r="I18" i="2"/>
  <c r="G18" i="2"/>
  <c r="H20" i="2" l="1"/>
  <c r="I19" i="2"/>
  <c r="G19" i="2"/>
  <c r="H21" i="2" l="1"/>
  <c r="I20" i="2"/>
  <c r="G20" i="2"/>
  <c r="H22" i="2" l="1"/>
  <c r="I21" i="2"/>
  <c r="G21" i="2"/>
  <c r="H23" i="2" l="1"/>
  <c r="I22" i="2"/>
  <c r="G22" i="2"/>
  <c r="H24" i="2" l="1"/>
  <c r="I23" i="2"/>
  <c r="G23" i="2"/>
  <c r="H25" i="2" l="1"/>
  <c r="G24" i="2"/>
  <c r="I24" i="2"/>
  <c r="H26" i="2" l="1"/>
  <c r="G25" i="2"/>
  <c r="I25" i="2"/>
  <c r="H27" i="2" l="1"/>
  <c r="I26" i="2"/>
  <c r="G26" i="2"/>
  <c r="H28" i="2" l="1"/>
  <c r="I27" i="2"/>
  <c r="G27" i="2"/>
  <c r="H29" i="2" l="1"/>
  <c r="I28" i="2"/>
  <c r="G28" i="2"/>
  <c r="H30" i="2" l="1"/>
  <c r="G29" i="2"/>
  <c r="I29" i="2"/>
  <c r="H31" i="2" l="1"/>
  <c r="I30" i="2"/>
  <c r="G30" i="2"/>
  <c r="H32" i="2" l="1"/>
  <c r="G31" i="2"/>
  <c r="I31" i="2"/>
  <c r="H33" i="2" l="1"/>
  <c r="G32" i="2"/>
  <c r="I32" i="2"/>
  <c r="H34" i="2" l="1"/>
  <c r="G33" i="2"/>
  <c r="I33" i="2"/>
  <c r="H35" i="2" l="1"/>
  <c r="I34" i="2"/>
  <c r="G34" i="2"/>
  <c r="H36" i="2" l="1"/>
  <c r="I35" i="2"/>
  <c r="G35" i="2"/>
  <c r="H37" i="2" l="1"/>
  <c r="I36" i="2"/>
  <c r="G36" i="2"/>
  <c r="H38" i="2" l="1"/>
  <c r="G37" i="2"/>
  <c r="I37" i="2"/>
  <c r="H39" i="2" l="1"/>
  <c r="I38" i="2"/>
  <c r="G38" i="2"/>
  <c r="H40" i="2" l="1"/>
  <c r="G39" i="2"/>
  <c r="I39" i="2"/>
  <c r="H41" i="2" l="1"/>
  <c r="G40" i="2"/>
  <c r="I40" i="2"/>
  <c r="H42" i="2" l="1"/>
  <c r="G41" i="2"/>
  <c r="I41" i="2"/>
  <c r="H43" i="2" l="1"/>
  <c r="G42" i="2"/>
  <c r="I42" i="2"/>
  <c r="H44" i="2" l="1"/>
  <c r="I43" i="2"/>
  <c r="G43" i="2"/>
  <c r="H45" i="2" l="1"/>
  <c r="I44" i="2"/>
  <c r="G44" i="2"/>
  <c r="H46" i="2" l="1"/>
  <c r="I45" i="2"/>
  <c r="G45" i="2"/>
  <c r="H47" i="2" l="1"/>
  <c r="I46" i="2"/>
  <c r="G46" i="2"/>
  <c r="H48" i="2" l="1"/>
  <c r="G47" i="2"/>
  <c r="I47" i="2"/>
  <c r="H49" i="2" l="1"/>
  <c r="G48" i="2"/>
  <c r="I48" i="2"/>
  <c r="H50" i="2" l="1"/>
  <c r="G49" i="2"/>
  <c r="I49" i="2"/>
  <c r="H51" i="2" l="1"/>
  <c r="I50" i="2"/>
  <c r="G50" i="2"/>
  <c r="H52" i="2" l="1"/>
  <c r="I51" i="2"/>
  <c r="G51" i="2"/>
  <c r="H53" i="2" l="1"/>
  <c r="I52" i="2"/>
  <c r="G52" i="2"/>
  <c r="L2" i="2" l="1"/>
  <c r="I53" i="2"/>
  <c r="G53" i="2"/>
  <c r="L3" i="2" l="1"/>
  <c r="M2" i="2"/>
  <c r="K2" i="2"/>
  <c r="L4" i="2" l="1"/>
  <c r="K3" i="2"/>
  <c r="M3" i="2"/>
  <c r="L5" i="2" l="1"/>
  <c r="K4" i="2"/>
  <c r="M4" i="2"/>
  <c r="L6" i="2" l="1"/>
  <c r="K5" i="2"/>
  <c r="M5" i="2"/>
  <c r="L7" i="2" l="1"/>
  <c r="M6" i="2"/>
  <c r="K6" i="2"/>
  <c r="L8" i="2" l="1"/>
  <c r="M7" i="2"/>
  <c r="K7" i="2"/>
  <c r="L9" i="2" l="1"/>
  <c r="M8" i="2"/>
  <c r="K8" i="2"/>
  <c r="L10" i="2" l="1"/>
  <c r="M9" i="2"/>
  <c r="K9" i="2"/>
  <c r="L11" i="2" l="1"/>
  <c r="M10" i="2"/>
  <c r="K10" i="2"/>
  <c r="K11" i="2" l="1"/>
  <c r="M11" i="2"/>
</calcChain>
</file>

<file path=xl/sharedStrings.xml><?xml version="1.0" encoding="utf-8"?>
<sst xmlns="http://schemas.openxmlformats.org/spreadsheetml/2006/main" count="80" uniqueCount="43">
  <si>
    <t>Kalenderwoche wählen</t>
  </si>
  <si>
    <t>KW</t>
  </si>
  <si>
    <t>Wochenende(Freitag)</t>
  </si>
  <si>
    <t>Wochenstart (Montag)</t>
  </si>
  <si>
    <t>-</t>
  </si>
  <si>
    <t>Jahr:</t>
  </si>
  <si>
    <t>Montag</t>
  </si>
  <si>
    <t>Freitag</t>
  </si>
  <si>
    <t>Rüsselsheim
G-007</t>
  </si>
  <si>
    <t>WBS
II-02</t>
  </si>
  <si>
    <t>online</t>
  </si>
  <si>
    <t>Zeit</t>
  </si>
  <si>
    <t>Dienstag</t>
  </si>
  <si>
    <t>Mittwoch</t>
  </si>
  <si>
    <t>Donnerstag</t>
  </si>
  <si>
    <t>Paul Borgetto</t>
  </si>
  <si>
    <t>Jero Sandlaß</t>
  </si>
  <si>
    <t>Hanan Kharcha</t>
  </si>
  <si>
    <t>Mathe 1. + 2. Semester</t>
  </si>
  <si>
    <t>Physik</t>
  </si>
  <si>
    <t>Lena Schmidt</t>
  </si>
  <si>
    <t>Mathematik</t>
  </si>
  <si>
    <t>Finanzmathe</t>
  </si>
  <si>
    <t>Hannah Döpp</t>
  </si>
  <si>
    <t>Online erreichbar unter https://hs-rm.webex.com/meet/mathe.helpdesk - Anfragen per E-Mail an mathe-helpdesk@hs-rm.de</t>
  </si>
  <si>
    <t>Name</t>
  </si>
  <si>
    <t>Schwerpunkt</t>
  </si>
  <si>
    <t>Tag</t>
  </si>
  <si>
    <t>Anfangszeit</t>
  </si>
  <si>
    <t>Endzeit</t>
  </si>
  <si>
    <t>Tutor:in</t>
  </si>
  <si>
    <t>Ort</t>
  </si>
  <si>
    <t>Rüsselsheim</t>
  </si>
  <si>
    <t>Hai-Tiren Le</t>
  </si>
  <si>
    <t>Mathe 1. + 2. Semester, Physik</t>
  </si>
  <si>
    <t>Finanzmathematik</t>
  </si>
  <si>
    <t>Lena</t>
  </si>
  <si>
    <t>Paul</t>
  </si>
  <si>
    <t>Mathe</t>
  </si>
  <si>
    <t>WBS</t>
  </si>
  <si>
    <t>Hannah</t>
  </si>
  <si>
    <t>HT</t>
  </si>
  <si>
    <t xml:space="preserve">Monatg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</si>
</sst>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hair">
        <color rgb="FF000000"/>
      </top>
      <bottom/>
      <diagonal/>
    </border>
    <border>
      <left/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hair">
        <color rgb="FF000000"/>
      </top>
      <bottom style="medium">
        <color rgb="FF000000"/>
      </bottom>
      <diagonal/>
    </border>
    <border>
      <left/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horizontal="left" vertical="top" wrapText="1"/>
    </xf>
    <xf numFmtId="0" fontId="4" fillId="0" borderId="2" xfId="0" applyFont="1" applyBorder="1" applyAlignment="1">
      <alignment horizontal="right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20" fontId="3" fillId="0" borderId="5" xfId="0" applyNumberFormat="1" applyFont="1" applyBorder="1" applyAlignment="1">
      <alignment horizontal="right"/>
    </xf>
    <xf numFmtId="0" fontId="3" fillId="0" borderId="6" xfId="0" applyFont="1" applyBorder="1" applyAlignment="1">
      <alignment horizontal="center" vertical="center"/>
    </xf>
    <xf numFmtId="20" fontId="3" fillId="0" borderId="7" xfId="0" applyNumberFormat="1" applyFont="1" applyBorder="1" applyAlignment="1">
      <alignment horizontal="left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20" fontId="3" fillId="0" borderId="10" xfId="0" applyNumberFormat="1" applyFont="1" applyBorder="1" applyAlignment="1">
      <alignment horizontal="right"/>
    </xf>
    <xf numFmtId="0" fontId="3" fillId="0" borderId="11" xfId="0" applyFont="1" applyBorder="1" applyAlignment="1">
      <alignment horizontal="center" vertical="center"/>
    </xf>
    <xf numFmtId="20" fontId="3" fillId="0" borderId="12" xfId="0" applyNumberFormat="1" applyFont="1" applyBorder="1" applyAlignment="1">
      <alignment horizontal="left"/>
    </xf>
    <xf numFmtId="0" fontId="3" fillId="5" borderId="13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3" fillId="5" borderId="13" xfId="0" applyFont="1" applyFill="1" applyBorder="1"/>
    <xf numFmtId="0" fontId="3" fillId="5" borderId="14" xfId="0" applyFont="1" applyFill="1" applyBorder="1"/>
    <xf numFmtId="20" fontId="3" fillId="0" borderId="10" xfId="0" applyNumberFormat="1" applyFont="1" applyBorder="1"/>
    <xf numFmtId="0" fontId="3" fillId="6" borderId="13" xfId="0" applyFont="1" applyFill="1" applyBorder="1"/>
    <xf numFmtId="0" fontId="3" fillId="6" borderId="14" xfId="0" applyFont="1" applyFill="1" applyBorder="1"/>
    <xf numFmtId="0" fontId="4" fillId="6" borderId="15" xfId="0" applyFont="1" applyFill="1" applyBorder="1" applyAlignment="1">
      <alignment horizontal="left"/>
    </xf>
    <xf numFmtId="0" fontId="3" fillId="6" borderId="16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left"/>
    </xf>
    <xf numFmtId="0" fontId="4" fillId="6" borderId="14" xfId="0" applyFont="1" applyFill="1" applyBorder="1"/>
    <xf numFmtId="0" fontId="3" fillId="5" borderId="17" xfId="0" applyFont="1" applyFill="1" applyBorder="1"/>
    <xf numFmtId="0" fontId="3" fillId="5" borderId="18" xfId="0" applyFont="1" applyFill="1" applyBorder="1"/>
    <xf numFmtId="0" fontId="3" fillId="6" borderId="13" xfId="0" applyFont="1" applyFill="1" applyBorder="1" applyAlignment="1">
      <alignment vertical="center" wrapText="1"/>
    </xf>
    <xf numFmtId="20" fontId="3" fillId="0" borderId="11" xfId="0" applyNumberFormat="1" applyFont="1" applyBorder="1" applyAlignment="1">
      <alignment horizontal="left"/>
    </xf>
    <xf numFmtId="0" fontId="4" fillId="6" borderId="21" xfId="0" applyFont="1" applyFill="1" applyBorder="1" applyAlignment="1">
      <alignment horizontal="left"/>
    </xf>
    <xf numFmtId="0" fontId="4" fillId="6" borderId="22" xfId="0" applyFont="1" applyFill="1" applyBorder="1"/>
    <xf numFmtId="0" fontId="3" fillId="6" borderId="21" xfId="0" applyFont="1" applyFill="1" applyBorder="1" applyAlignment="1">
      <alignment horizontal="left"/>
    </xf>
    <xf numFmtId="0" fontId="3" fillId="6" borderId="21" xfId="0" applyFont="1" applyFill="1" applyBorder="1"/>
    <xf numFmtId="0" fontId="3" fillId="6" borderId="22" xfId="0" applyFont="1" applyFill="1" applyBorder="1"/>
    <xf numFmtId="0" fontId="4" fillId="6" borderId="0" xfId="0" applyFont="1" applyFill="1" applyAlignment="1">
      <alignment horizontal="right"/>
    </xf>
    <xf numFmtId="0" fontId="4" fillId="6" borderId="17" xfId="0" applyFont="1" applyFill="1" applyBorder="1"/>
    <xf numFmtId="0" fontId="3" fillId="6" borderId="18" xfId="0" applyFont="1" applyFill="1" applyBorder="1"/>
    <xf numFmtId="0" fontId="4" fillId="6" borderId="13" xfId="0" applyFont="1" applyFill="1" applyBorder="1"/>
    <xf numFmtId="0" fontId="3" fillId="5" borderId="21" xfId="0" applyFont="1" applyFill="1" applyBorder="1"/>
    <xf numFmtId="0" fontId="3" fillId="5" borderId="22" xfId="0" applyFont="1" applyFill="1" applyBorder="1"/>
    <xf numFmtId="20" fontId="3" fillId="5" borderId="10" xfId="0" applyNumberFormat="1" applyFont="1" applyFill="1" applyBorder="1"/>
    <xf numFmtId="0" fontId="3" fillId="5" borderId="11" xfId="0" applyFont="1" applyFill="1" applyBorder="1" applyAlignment="1">
      <alignment horizontal="center" vertical="center"/>
    </xf>
    <xf numFmtId="20" fontId="3" fillId="5" borderId="11" xfId="0" applyNumberFormat="1" applyFont="1" applyFill="1" applyBorder="1" applyAlignment="1">
      <alignment horizontal="left"/>
    </xf>
    <xf numFmtId="20" fontId="3" fillId="5" borderId="12" xfId="0" applyNumberFormat="1" applyFont="1" applyFill="1" applyBorder="1" applyAlignment="1">
      <alignment horizontal="left"/>
    </xf>
    <xf numFmtId="0" fontId="3" fillId="6" borderId="14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4" fillId="6" borderId="14" xfId="0" applyFont="1" applyFill="1" applyBorder="1" applyAlignment="1">
      <alignment horizontal="right"/>
    </xf>
    <xf numFmtId="0" fontId="4" fillId="6" borderId="18" xfId="0" applyFont="1" applyFill="1" applyBorder="1"/>
    <xf numFmtId="20" fontId="3" fillId="0" borderId="25" xfId="0" applyNumberFormat="1" applyFont="1" applyBorder="1"/>
    <xf numFmtId="0" fontId="3" fillId="0" borderId="26" xfId="0" applyFont="1" applyBorder="1" applyAlignment="1">
      <alignment horizontal="center" vertical="center"/>
    </xf>
    <xf numFmtId="20" fontId="3" fillId="0" borderId="27" xfId="0" applyNumberFormat="1" applyFont="1" applyBorder="1" applyAlignment="1">
      <alignment horizontal="left"/>
    </xf>
    <xf numFmtId="0" fontId="3" fillId="5" borderId="17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20" fontId="3" fillId="0" borderId="28" xfId="0" applyNumberFormat="1" applyFont="1" applyBorder="1"/>
    <xf numFmtId="0" fontId="3" fillId="0" borderId="29" xfId="0" applyFont="1" applyBorder="1" applyAlignment="1">
      <alignment horizontal="center" vertical="center"/>
    </xf>
    <xf numFmtId="20" fontId="3" fillId="0" borderId="30" xfId="0" applyNumberFormat="1" applyFont="1" applyBorder="1" applyAlignment="1">
      <alignment horizontal="left"/>
    </xf>
    <xf numFmtId="0" fontId="3" fillId="5" borderId="19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left"/>
    </xf>
    <xf numFmtId="0" fontId="3" fillId="6" borderId="20" xfId="0" applyFont="1" applyFill="1" applyBorder="1"/>
    <xf numFmtId="0" fontId="4" fillId="6" borderId="22" xfId="0" applyFont="1" applyFill="1" applyBorder="1" applyAlignment="1">
      <alignment horizontal="right"/>
    </xf>
    <xf numFmtId="0" fontId="4" fillId="6" borderId="19" xfId="0" applyFont="1" applyFill="1" applyBorder="1" applyAlignment="1">
      <alignment horizontal="left"/>
    </xf>
    <xf numFmtId="0" fontId="3" fillId="6" borderId="20" xfId="0" applyFont="1" applyFill="1" applyBorder="1" applyAlignment="1">
      <alignment horizontal="center"/>
    </xf>
    <xf numFmtId="0" fontId="3" fillId="6" borderId="17" xfId="0" applyFont="1" applyFill="1" applyBorder="1"/>
    <xf numFmtId="0" fontId="3" fillId="6" borderId="14" xfId="0" applyFont="1" applyFill="1" applyBorder="1" applyAlignment="1">
      <alignment horizontal="right"/>
    </xf>
    <xf numFmtId="0" fontId="3" fillId="6" borderId="16" xfId="0" applyFont="1" applyFill="1" applyBorder="1"/>
    <xf numFmtId="0" fontId="3" fillId="6" borderId="17" xfId="0" applyFont="1" applyFill="1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5" borderId="17" xfId="0" applyFont="1" applyFill="1" applyBorder="1" applyAlignment="1">
      <alignment vertical="top"/>
    </xf>
    <xf numFmtId="0" fontId="3" fillId="5" borderId="18" xfId="0" applyFont="1" applyFill="1" applyBorder="1" applyAlignment="1">
      <alignment vertical="top"/>
    </xf>
    <xf numFmtId="0" fontId="3" fillId="6" borderId="22" xfId="0" applyFont="1" applyFill="1" applyBorder="1" applyAlignment="1">
      <alignment horizontal="right"/>
    </xf>
    <xf numFmtId="0" fontId="4" fillId="6" borderId="14" xfId="0" applyFont="1" applyFill="1" applyBorder="1" applyAlignment="1">
      <alignment horizontal="left"/>
    </xf>
    <xf numFmtId="0" fontId="4" fillId="6" borderId="22" xfId="0" applyFont="1" applyFill="1" applyBorder="1" applyAlignment="1">
      <alignment horizontal="left"/>
    </xf>
    <xf numFmtId="0" fontId="0" fillId="6" borderId="16" xfId="0" applyFill="1" applyBorder="1"/>
    <xf numFmtId="0" fontId="5" fillId="6" borderId="14" xfId="0" applyFont="1" applyFill="1" applyBorder="1" applyAlignment="1">
      <alignment horizontal="left"/>
    </xf>
    <xf numFmtId="0" fontId="4" fillId="6" borderId="21" xfId="0" applyFont="1" applyFill="1" applyBorder="1"/>
    <xf numFmtId="0" fontId="4" fillId="6" borderId="17" xfId="0" applyFont="1" applyFill="1" applyBorder="1" applyAlignment="1">
      <alignment horizontal="left"/>
    </xf>
    <xf numFmtId="0" fontId="4" fillId="6" borderId="15" xfId="0" applyFont="1" applyFill="1" applyBorder="1"/>
    <xf numFmtId="20" fontId="0" fillId="0" borderId="0" xfId="0" applyNumberFormat="1"/>
    <xf numFmtId="0" fontId="4" fillId="6" borderId="31" xfId="0" applyFont="1" applyFill="1" applyBorder="1"/>
    <xf numFmtId="0" fontId="3" fillId="6" borderId="31" xfId="0" applyFont="1" applyFill="1" applyBorder="1"/>
    <xf numFmtId="0" fontId="3" fillId="6" borderId="31" xfId="0" applyFont="1" applyFill="1" applyBorder="1" applyAlignment="1">
      <alignment horizontal="left"/>
    </xf>
    <xf numFmtId="0" fontId="3" fillId="6" borderId="17" xfId="0" applyFont="1" applyFill="1" applyBorder="1" applyAlignment="1">
      <alignment horizontal="left"/>
    </xf>
    <xf numFmtId="0" fontId="4" fillId="6" borderId="18" xfId="0" applyFont="1" applyFill="1" applyBorder="1" applyAlignment="1">
      <alignment horizontal="right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752475</xdr:colOff>
      <xdr:row>0</xdr:row>
      <xdr:rowOff>228600</xdr:rowOff>
    </xdr:from>
    <xdr:to>
      <xdr:col>12</xdr:col>
      <xdr:colOff>1028700</xdr:colOff>
      <xdr:row>1</xdr:row>
      <xdr:rowOff>388716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3975" y="228600"/>
          <a:ext cx="2371725" cy="950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</xdr:row>
          <xdr:rowOff>133350</xdr:rowOff>
        </xdr:from>
        <xdr:to>
          <xdr:col>0</xdr:col>
          <xdr:colOff>1171575</xdr:colOff>
          <xdr:row>7</xdr:row>
          <xdr:rowOff>57150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B5E7-7215-4763-AA37-C505DC7E6DAF}">
  <sheetPr codeName="Tabelle1">
    <pageSetUpPr fitToPage="1"/>
  </sheetPr>
  <dimension ref="A1:M30"/>
  <sheetViews>
    <sheetView tabSelected="1" workbookViewId="0">
      <selection activeCell="D2" sqref="D2"/>
    </sheetView>
  </sheetViews>
  <sheetFormatPr baseColWidth="10" defaultRowHeight="15" x14ac:dyDescent="0.25"/>
  <cols>
    <col min="1" max="1" width="5.42578125" customWidth="1"/>
    <col min="2" max="2" width="2" customWidth="1"/>
    <col min="3" max="3" width="5.42578125" customWidth="1"/>
    <col min="4" max="13" width="15.7109375" customWidth="1"/>
  </cols>
  <sheetData>
    <row r="1" spans="1:13" ht="50.1" customHeight="1" thickBot="1" x14ac:dyDescent="0.3"/>
    <row r="2" spans="1:13" ht="30.75" thickBot="1" x14ac:dyDescent="0.3">
      <c r="A2" s="2"/>
      <c r="C2" s="1"/>
      <c r="E2" s="1"/>
      <c r="H2" s="3" t="s">
        <v>8</v>
      </c>
      <c r="I2" s="4" t="s">
        <v>9</v>
      </c>
      <c r="J2" s="5" t="s">
        <v>10</v>
      </c>
    </row>
    <row r="3" spans="1:13" ht="15.75" thickBot="1" x14ac:dyDescent="0.3"/>
    <row r="4" spans="1:13" ht="15.75" thickBot="1" x14ac:dyDescent="0.3">
      <c r="A4" s="6" t="s">
        <v>11</v>
      </c>
      <c r="B4" s="7"/>
      <c r="C4" s="8"/>
      <c r="D4" s="91" t="s">
        <v>6</v>
      </c>
      <c r="E4" s="92"/>
      <c r="F4" s="91" t="s">
        <v>12</v>
      </c>
      <c r="G4" s="92"/>
      <c r="H4" s="91" t="s">
        <v>13</v>
      </c>
      <c r="I4" s="92"/>
      <c r="J4" s="91" t="s">
        <v>14</v>
      </c>
      <c r="K4" s="92"/>
      <c r="L4" s="91" t="s">
        <v>7</v>
      </c>
      <c r="M4" s="92"/>
    </row>
    <row r="5" spans="1:13" x14ac:dyDescent="0.25">
      <c r="A5" s="9">
        <v>0.33333333333333331</v>
      </c>
      <c r="B5" s="10" t="s">
        <v>4</v>
      </c>
      <c r="C5" s="11">
        <v>0.35416666666666669</v>
      </c>
      <c r="D5" s="12"/>
      <c r="E5" s="13"/>
      <c r="F5" s="12"/>
      <c r="G5" s="13"/>
      <c r="H5" s="12"/>
      <c r="I5" s="13"/>
      <c r="J5" s="12"/>
      <c r="K5" s="13"/>
      <c r="L5" s="12"/>
      <c r="M5" s="13"/>
    </row>
    <row r="6" spans="1:13" x14ac:dyDescent="0.25">
      <c r="A6" s="14">
        <v>0.35416666666666669</v>
      </c>
      <c r="B6" s="15" t="s">
        <v>4</v>
      </c>
      <c r="C6" s="16">
        <v>0.375</v>
      </c>
      <c r="D6" s="17"/>
      <c r="E6" s="18"/>
      <c r="F6" s="17"/>
      <c r="G6" s="18"/>
      <c r="H6" s="19"/>
      <c r="I6" s="20"/>
      <c r="J6" s="19"/>
      <c r="K6" s="20"/>
      <c r="L6" s="17"/>
      <c r="M6" s="18"/>
    </row>
    <row r="7" spans="1:13" x14ac:dyDescent="0.25">
      <c r="A7" s="21">
        <v>0.375</v>
      </c>
      <c r="B7" s="15" t="s">
        <v>4</v>
      </c>
      <c r="C7" s="16">
        <v>0.39583333333333331</v>
      </c>
      <c r="D7" s="19"/>
      <c r="E7" s="20"/>
      <c r="F7" s="19"/>
      <c r="G7" s="20"/>
      <c r="H7" s="22"/>
      <c r="I7" s="23"/>
      <c r="J7" s="19"/>
      <c r="K7" s="20"/>
      <c r="L7" s="19"/>
      <c r="M7" s="20"/>
    </row>
    <row r="8" spans="1:13" x14ac:dyDescent="0.25">
      <c r="A8" s="21">
        <v>0.39583333333333331</v>
      </c>
      <c r="B8" s="15" t="s">
        <v>4</v>
      </c>
      <c r="C8" s="16">
        <v>0.41666666666666669</v>
      </c>
      <c r="D8" s="75"/>
      <c r="E8" s="76"/>
      <c r="F8" s="24"/>
      <c r="G8" s="25"/>
      <c r="H8" s="83"/>
      <c r="I8" s="51"/>
      <c r="J8" s="67"/>
      <c r="K8" s="39"/>
      <c r="L8" s="28"/>
      <c r="M8" s="29"/>
    </row>
    <row r="9" spans="1:13" x14ac:dyDescent="0.25">
      <c r="A9" s="21">
        <v>0.41666666666666669</v>
      </c>
      <c r="B9" s="15" t="s">
        <v>4</v>
      </c>
      <c r="C9" s="31">
        <v>0.4375</v>
      </c>
      <c r="D9" s="26"/>
      <c r="E9" s="50"/>
      <c r="F9" s="86"/>
      <c r="G9" s="50"/>
      <c r="H9" s="40"/>
      <c r="I9" s="23"/>
      <c r="J9" s="40"/>
      <c r="K9" s="23"/>
      <c r="L9" s="30"/>
      <c r="M9" s="23"/>
    </row>
    <row r="10" spans="1:13" x14ac:dyDescent="0.25">
      <c r="A10" s="21">
        <v>0.4375</v>
      </c>
      <c r="B10" s="15" t="s">
        <v>4</v>
      </c>
      <c r="C10" s="31">
        <v>0.45833333333333331</v>
      </c>
      <c r="D10" s="22"/>
      <c r="E10" s="23"/>
      <c r="F10" s="87"/>
      <c r="G10" s="27"/>
      <c r="H10" s="22"/>
      <c r="I10" s="23"/>
      <c r="J10" s="67"/>
      <c r="K10" s="39"/>
      <c r="L10" s="22"/>
      <c r="M10" s="23"/>
    </row>
    <row r="11" spans="1:13" x14ac:dyDescent="0.25">
      <c r="A11" s="21">
        <v>0.45833333333333331</v>
      </c>
      <c r="B11" s="15" t="s">
        <v>4</v>
      </c>
      <c r="C11" s="31">
        <v>0.47916666666666669</v>
      </c>
      <c r="D11" s="89"/>
      <c r="E11" s="90"/>
      <c r="F11" s="88"/>
      <c r="G11" s="23"/>
      <c r="H11" s="62"/>
      <c r="I11" s="27"/>
      <c r="J11" s="62"/>
      <c r="K11" s="68"/>
      <c r="L11" s="19"/>
      <c r="M11" s="20"/>
    </row>
    <row r="12" spans="1:13" x14ac:dyDescent="0.25">
      <c r="A12" s="21">
        <v>0.47916666666666669</v>
      </c>
      <c r="B12" s="15" t="s">
        <v>4</v>
      </c>
      <c r="C12" s="31">
        <v>0.5</v>
      </c>
      <c r="D12" s="22"/>
      <c r="E12" s="23"/>
      <c r="F12" s="86"/>
      <c r="G12" s="23"/>
      <c r="H12" s="40"/>
      <c r="I12" s="23"/>
      <c r="J12" s="40"/>
      <c r="K12" s="50"/>
      <c r="L12" s="19"/>
      <c r="M12" s="20"/>
    </row>
    <row r="13" spans="1:13" x14ac:dyDescent="0.25">
      <c r="A13" s="21">
        <v>0.5</v>
      </c>
      <c r="B13" s="15" t="s">
        <v>4</v>
      </c>
      <c r="C13" s="31">
        <v>0.52083333333333337</v>
      </c>
      <c r="D13" s="35"/>
      <c r="E13" s="36"/>
      <c r="F13" s="32"/>
      <c r="G13" s="33"/>
      <c r="H13" s="84"/>
      <c r="I13" s="69"/>
      <c r="J13" s="34"/>
      <c r="K13" s="33"/>
      <c r="L13" s="35"/>
      <c r="M13" s="36"/>
    </row>
    <row r="14" spans="1:13" x14ac:dyDescent="0.25">
      <c r="A14" s="21">
        <v>0.52083333333333337</v>
      </c>
      <c r="B14" s="15" t="s">
        <v>4</v>
      </c>
      <c r="C14" s="31">
        <v>0.54166666666666663</v>
      </c>
      <c r="D14" s="48"/>
      <c r="E14" s="47"/>
      <c r="F14" s="35"/>
      <c r="G14" s="37"/>
      <c r="H14" s="38"/>
      <c r="I14" s="39"/>
      <c r="J14" s="26"/>
      <c r="K14" s="23"/>
      <c r="L14" s="40"/>
      <c r="M14" s="23"/>
    </row>
    <row r="15" spans="1:13" x14ac:dyDescent="0.25">
      <c r="A15" s="21">
        <v>0.54166666666666663</v>
      </c>
      <c r="B15" s="15" t="s">
        <v>4</v>
      </c>
      <c r="C15" s="31">
        <v>0.5625</v>
      </c>
      <c r="D15" s="48"/>
      <c r="E15" s="47"/>
      <c r="F15" s="22"/>
      <c r="G15" s="78"/>
      <c r="H15" s="40"/>
      <c r="I15" s="23"/>
      <c r="J15" s="35"/>
      <c r="K15" s="36"/>
      <c r="L15" s="30"/>
      <c r="M15" s="23"/>
    </row>
    <row r="16" spans="1:13" x14ac:dyDescent="0.25">
      <c r="A16" s="43">
        <v>0.5625</v>
      </c>
      <c r="B16" s="44" t="s">
        <v>4</v>
      </c>
      <c r="C16" s="45">
        <v>0.58333333333333337</v>
      </c>
      <c r="D16" s="32"/>
      <c r="E16" s="64"/>
      <c r="F16" s="40"/>
      <c r="G16" s="23"/>
      <c r="H16" s="22"/>
      <c r="I16" s="23"/>
      <c r="J16" s="67"/>
      <c r="K16" s="23"/>
      <c r="L16" s="22"/>
      <c r="M16" s="23"/>
    </row>
    <row r="17" spans="1:13" x14ac:dyDescent="0.25">
      <c r="A17" s="21">
        <v>0.58333333333333337</v>
      </c>
      <c r="B17" s="15" t="s">
        <v>4</v>
      </c>
      <c r="C17" s="31">
        <v>0.60416666666666663</v>
      </c>
      <c r="D17" s="22"/>
      <c r="E17" s="23"/>
      <c r="F17" s="26"/>
      <c r="G17" s="79"/>
      <c r="H17" s="26"/>
      <c r="I17" s="50"/>
      <c r="J17" s="67"/>
      <c r="K17" s="69"/>
      <c r="L17" s="19"/>
      <c r="M17" s="20"/>
    </row>
    <row r="18" spans="1:13" x14ac:dyDescent="0.25">
      <c r="A18" s="21">
        <v>0.60416666666666663</v>
      </c>
      <c r="B18" s="15" t="s">
        <v>4</v>
      </c>
      <c r="C18" s="16">
        <v>0.625</v>
      </c>
      <c r="D18" s="26"/>
      <c r="E18" s="50"/>
      <c r="F18" s="62"/>
      <c r="G18" s="80"/>
      <c r="H18" s="82"/>
      <c r="I18" s="36"/>
      <c r="J18" s="26"/>
      <c r="K18" s="78"/>
      <c r="L18" s="19"/>
      <c r="M18" s="20"/>
    </row>
    <row r="19" spans="1:13" x14ac:dyDescent="0.25">
      <c r="A19" s="21">
        <v>0.625</v>
      </c>
      <c r="B19" s="15" t="s">
        <v>4</v>
      </c>
      <c r="C19" s="16">
        <v>0.64583333333333337</v>
      </c>
      <c r="D19" s="41"/>
      <c r="E19" s="42"/>
      <c r="F19" s="22"/>
      <c r="G19" s="81"/>
      <c r="H19" s="34"/>
      <c r="I19" s="36"/>
      <c r="J19" s="22"/>
      <c r="K19" s="23"/>
      <c r="L19" s="17"/>
      <c r="M19" s="18"/>
    </row>
    <row r="20" spans="1:13" x14ac:dyDescent="0.25">
      <c r="A20" s="43">
        <v>0.64583333333333337</v>
      </c>
      <c r="B20" s="44" t="s">
        <v>4</v>
      </c>
      <c r="C20" s="46">
        <v>0.66666666666666663</v>
      </c>
      <c r="D20" s="17"/>
      <c r="E20" s="18"/>
      <c r="F20" s="40"/>
      <c r="G20" s="27"/>
      <c r="H20" s="22"/>
      <c r="I20" s="47"/>
      <c r="J20" s="62"/>
      <c r="K20" s="47"/>
      <c r="L20" s="19"/>
      <c r="M20" s="20"/>
    </row>
    <row r="21" spans="1:13" x14ac:dyDescent="0.25">
      <c r="A21" s="43">
        <v>0.66666666666666663</v>
      </c>
      <c r="B21" s="44"/>
      <c r="C21" s="46">
        <v>0.6875</v>
      </c>
      <c r="D21" s="17"/>
      <c r="E21" s="18"/>
      <c r="F21" s="82"/>
      <c r="G21" s="77"/>
      <c r="H21" s="48"/>
      <c r="I21" s="49"/>
      <c r="J21" s="40"/>
      <c r="K21" s="78"/>
      <c r="L21" s="17"/>
      <c r="M21" s="18"/>
    </row>
    <row r="22" spans="1:13" x14ac:dyDescent="0.25">
      <c r="A22" s="21">
        <v>0.6875</v>
      </c>
      <c r="B22" s="15" t="s">
        <v>4</v>
      </c>
      <c r="C22" s="16">
        <v>0.70833333333333337</v>
      </c>
      <c r="D22" s="19"/>
      <c r="E22" s="20"/>
      <c r="F22" s="22"/>
      <c r="G22" s="50"/>
      <c r="H22" s="35"/>
      <c r="I22" s="23"/>
      <c r="J22" s="35"/>
      <c r="K22" s="36"/>
      <c r="L22" s="17"/>
      <c r="M22" s="18"/>
    </row>
    <row r="23" spans="1:13" x14ac:dyDescent="0.25">
      <c r="A23" s="21">
        <v>0.70833333333333337</v>
      </c>
      <c r="B23" s="15" t="s">
        <v>4</v>
      </c>
      <c r="C23" s="16">
        <v>0.72916666666666663</v>
      </c>
      <c r="D23" s="19"/>
      <c r="E23" s="20"/>
      <c r="F23" s="38"/>
      <c r="G23" s="51"/>
      <c r="H23" s="22"/>
      <c r="I23" s="23"/>
      <c r="J23" s="22"/>
      <c r="K23" s="23"/>
      <c r="L23" s="19"/>
      <c r="M23" s="20"/>
    </row>
    <row r="24" spans="1:13" x14ac:dyDescent="0.25">
      <c r="A24" s="21">
        <v>0.72916666666666663</v>
      </c>
      <c r="B24" s="15" t="s">
        <v>4</v>
      </c>
      <c r="C24" s="16">
        <v>0.75</v>
      </c>
      <c r="D24" s="17"/>
      <c r="E24" s="18"/>
      <c r="F24" s="26"/>
      <c r="G24" s="23"/>
      <c r="H24" s="70"/>
      <c r="I24" s="71"/>
      <c r="J24" s="48"/>
      <c r="K24" s="47"/>
      <c r="L24" s="17"/>
      <c r="M24" s="18"/>
    </row>
    <row r="25" spans="1:13" x14ac:dyDescent="0.25">
      <c r="A25" s="52">
        <v>0.75</v>
      </c>
      <c r="B25" s="53" t="s">
        <v>4</v>
      </c>
      <c r="C25" s="54">
        <v>0.77083333333333337</v>
      </c>
      <c r="D25" s="55"/>
      <c r="E25" s="56"/>
      <c r="F25" s="35"/>
      <c r="G25" s="36"/>
      <c r="H25" s="40"/>
      <c r="I25" s="68"/>
      <c r="J25" s="70"/>
      <c r="K25" s="71"/>
      <c r="L25" s="55"/>
      <c r="M25" s="56"/>
    </row>
    <row r="26" spans="1:13" x14ac:dyDescent="0.25">
      <c r="A26" s="52">
        <v>0.77083333333333337</v>
      </c>
      <c r="B26" s="53" t="s">
        <v>4</v>
      </c>
      <c r="C26" s="54">
        <v>0.79166666666666663</v>
      </c>
      <c r="D26" s="55"/>
      <c r="E26" s="56"/>
      <c r="F26" s="22"/>
      <c r="G26" s="23"/>
      <c r="H26" s="22"/>
      <c r="I26" s="50"/>
      <c r="J26" s="70"/>
      <c r="K26" s="71"/>
      <c r="L26" s="55"/>
      <c r="M26" s="56"/>
    </row>
    <row r="27" spans="1:13" x14ac:dyDescent="0.25">
      <c r="A27" s="52">
        <v>0.79166666666666663</v>
      </c>
      <c r="B27" s="53" t="s">
        <v>4</v>
      </c>
      <c r="C27" s="54">
        <v>0.8125</v>
      </c>
      <c r="D27" s="55"/>
      <c r="E27" s="56"/>
      <c r="F27" s="26"/>
      <c r="G27" s="47"/>
      <c r="H27" s="40"/>
      <c r="I27" s="27"/>
      <c r="J27" s="70"/>
      <c r="K27" s="71"/>
      <c r="L27" s="55"/>
      <c r="M27" s="56"/>
    </row>
    <row r="28" spans="1:13" ht="15.75" thickBot="1" x14ac:dyDescent="0.3">
      <c r="A28" s="57">
        <v>0.8125</v>
      </c>
      <c r="B28" s="58" t="s">
        <v>4</v>
      </c>
      <c r="C28" s="59">
        <v>0.83333333333333337</v>
      </c>
      <c r="D28" s="60"/>
      <c r="E28" s="61"/>
      <c r="F28" s="72"/>
      <c r="G28" s="73"/>
      <c r="H28" s="65"/>
      <c r="I28" s="63"/>
      <c r="J28" s="74"/>
      <c r="K28" s="66"/>
      <c r="L28" s="60"/>
      <c r="M28" s="61"/>
    </row>
    <row r="30" spans="1:13" x14ac:dyDescent="0.25">
      <c r="A30" s="2" t="s">
        <v>24</v>
      </c>
    </row>
  </sheetData>
  <mergeCells count="5">
    <mergeCell ref="D4:E4"/>
    <mergeCell ref="F4:G4"/>
    <mergeCell ref="H4:I4"/>
    <mergeCell ref="J4:K4"/>
    <mergeCell ref="L4:M4"/>
  </mergeCells>
  <pageMargins left="0.25" right="0.25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68DF9-71C3-4417-A6D4-458F2F7CDE79}">
  <sheetPr codeName="Tabelle2"/>
  <dimension ref="A1:Z54"/>
  <sheetViews>
    <sheetView workbookViewId="0">
      <selection activeCell="B2" sqref="B2"/>
    </sheetView>
  </sheetViews>
  <sheetFormatPr baseColWidth="10" defaultRowHeight="15" x14ac:dyDescent="0.25"/>
  <cols>
    <col min="1" max="1" width="19.85546875" customWidth="1"/>
    <col min="3" max="3" width="8.85546875" customWidth="1"/>
    <col min="4" max="4" width="15.140625" customWidth="1"/>
  </cols>
  <sheetData>
    <row r="1" spans="1:26" x14ac:dyDescent="0.25">
      <c r="A1" t="s">
        <v>5</v>
      </c>
      <c r="B1">
        <v>2024</v>
      </c>
      <c r="C1" t="s">
        <v>1</v>
      </c>
      <c r="D1" t="s">
        <v>3</v>
      </c>
      <c r="E1" t="s">
        <v>2</v>
      </c>
      <c r="G1">
        <v>2023</v>
      </c>
      <c r="K1">
        <v>2024</v>
      </c>
      <c r="O1">
        <v>2025</v>
      </c>
      <c r="S1">
        <v>2026</v>
      </c>
      <c r="Z1">
        <v>2022</v>
      </c>
    </row>
    <row r="2" spans="1:26" x14ac:dyDescent="0.25">
      <c r="A2" t="s">
        <v>0</v>
      </c>
      <c r="B2">
        <v>6</v>
      </c>
      <c r="C2">
        <f>WEEKNUM($D2,21)</f>
        <v>1</v>
      </c>
      <c r="D2" s="1">
        <v>44564</v>
      </c>
      <c r="E2" s="1">
        <f>$D2+4</f>
        <v>44568</v>
      </c>
      <c r="G2">
        <f t="shared" ref="G2:G33" si="0">WEEKNUM($H2,21)</f>
        <v>1</v>
      </c>
      <c r="H2" s="1">
        <f>$D53+7</f>
        <v>44928</v>
      </c>
      <c r="I2" s="1">
        <f t="shared" ref="I2:I33" si="1">$H2+4</f>
        <v>44932</v>
      </c>
      <c r="K2">
        <f t="shared" ref="K2:K11" si="2">WEEKNUM($L2,21)</f>
        <v>1</v>
      </c>
      <c r="L2" s="1">
        <f>$H53+7</f>
        <v>45292</v>
      </c>
      <c r="M2" s="1">
        <f t="shared" ref="M2:M11" si="3">$L2+4</f>
        <v>45296</v>
      </c>
      <c r="O2">
        <f>WEEKNUM($P2,21)</f>
        <v>1</v>
      </c>
      <c r="P2" s="1">
        <v>45656</v>
      </c>
      <c r="Q2" s="1">
        <f>P2+4</f>
        <v>45660</v>
      </c>
      <c r="S2">
        <f>WEEKNUM($T2,21)</f>
        <v>1</v>
      </c>
      <c r="T2" s="1">
        <v>46020</v>
      </c>
      <c r="U2" s="1">
        <f>T2+4</f>
        <v>46024</v>
      </c>
      <c r="Z2">
        <v>2023</v>
      </c>
    </row>
    <row r="3" spans="1:26" x14ac:dyDescent="0.25">
      <c r="A3" t="s">
        <v>6</v>
      </c>
      <c r="B3" s="1">
        <v>45327</v>
      </c>
      <c r="C3">
        <f t="shared" ref="C3:C53" si="4">WEEKNUM($D3,21)</f>
        <v>2</v>
      </c>
      <c r="D3" s="1">
        <f>$D2+7</f>
        <v>44571</v>
      </c>
      <c r="E3" s="1">
        <f t="shared" ref="E3:E53" si="5">$D3+4</f>
        <v>44575</v>
      </c>
      <c r="G3">
        <f t="shared" si="0"/>
        <v>2</v>
      </c>
      <c r="H3" s="1">
        <f t="shared" ref="H3:H34" si="6">$H2+7</f>
        <v>44935</v>
      </c>
      <c r="I3" s="1">
        <f t="shared" si="1"/>
        <v>44939</v>
      </c>
      <c r="K3">
        <f t="shared" si="2"/>
        <v>2</v>
      </c>
      <c r="L3" s="1">
        <f t="shared" ref="L3:L11" si="7">$L2+7</f>
        <v>45299</v>
      </c>
      <c r="M3" s="1">
        <f t="shared" si="3"/>
        <v>45303</v>
      </c>
      <c r="O3">
        <f t="shared" ref="O3:O53" si="8">WEEKNUM($P3,21)</f>
        <v>2</v>
      </c>
      <c r="P3" s="1">
        <f>P2+7</f>
        <v>45663</v>
      </c>
      <c r="Q3" s="1">
        <f t="shared" ref="Q3:Q53" si="9">P3+4</f>
        <v>45667</v>
      </c>
      <c r="S3">
        <f t="shared" ref="S3:S54" si="10">WEEKNUM($T3,21)</f>
        <v>2</v>
      </c>
      <c r="T3" s="1">
        <f>T2+7</f>
        <v>46027</v>
      </c>
      <c r="U3" s="1">
        <f t="shared" ref="U3:U54" si="11">T3+4</f>
        <v>46031</v>
      </c>
      <c r="Z3">
        <v>2024</v>
      </c>
    </row>
    <row r="4" spans="1:26" x14ac:dyDescent="0.25">
      <c r="A4" t="s">
        <v>7</v>
      </c>
      <c r="B4" s="1">
        <v>45331</v>
      </c>
      <c r="C4">
        <f t="shared" si="4"/>
        <v>3</v>
      </c>
      <c r="D4" s="1">
        <f t="shared" ref="D4:D53" si="12">$D3+7</f>
        <v>44578</v>
      </c>
      <c r="E4" s="1">
        <f t="shared" si="5"/>
        <v>44582</v>
      </c>
      <c r="G4">
        <f t="shared" si="0"/>
        <v>3</v>
      </c>
      <c r="H4" s="1">
        <f t="shared" si="6"/>
        <v>44942</v>
      </c>
      <c r="I4" s="1">
        <f t="shared" si="1"/>
        <v>44946</v>
      </c>
      <c r="K4">
        <f t="shared" si="2"/>
        <v>3</v>
      </c>
      <c r="L4" s="1">
        <f t="shared" si="7"/>
        <v>45306</v>
      </c>
      <c r="M4" s="1">
        <f t="shared" si="3"/>
        <v>45310</v>
      </c>
      <c r="O4">
        <f t="shared" si="8"/>
        <v>3</v>
      </c>
      <c r="P4" s="1">
        <f t="shared" ref="P4:P53" si="13">P3+7</f>
        <v>45670</v>
      </c>
      <c r="Q4" s="1">
        <f t="shared" si="9"/>
        <v>45674</v>
      </c>
      <c r="S4">
        <f t="shared" si="10"/>
        <v>3</v>
      </c>
      <c r="T4" s="1">
        <f t="shared" ref="T4:T54" si="14">T3+7</f>
        <v>46034</v>
      </c>
      <c r="U4" s="1">
        <f t="shared" si="11"/>
        <v>46038</v>
      </c>
      <c r="Z4">
        <v>2025</v>
      </c>
    </row>
    <row r="5" spans="1:26" x14ac:dyDescent="0.25">
      <c r="C5">
        <f t="shared" si="4"/>
        <v>4</v>
      </c>
      <c r="D5" s="1">
        <f t="shared" si="12"/>
        <v>44585</v>
      </c>
      <c r="E5" s="1">
        <f t="shared" si="5"/>
        <v>44589</v>
      </c>
      <c r="G5">
        <f t="shared" si="0"/>
        <v>4</v>
      </c>
      <c r="H5" s="1">
        <f t="shared" si="6"/>
        <v>44949</v>
      </c>
      <c r="I5" s="1">
        <f t="shared" si="1"/>
        <v>44953</v>
      </c>
      <c r="K5">
        <f t="shared" si="2"/>
        <v>4</v>
      </c>
      <c r="L5" s="1">
        <f t="shared" si="7"/>
        <v>45313</v>
      </c>
      <c r="M5" s="1">
        <f t="shared" si="3"/>
        <v>45317</v>
      </c>
      <c r="O5">
        <f t="shared" si="8"/>
        <v>4</v>
      </c>
      <c r="P5" s="1">
        <f t="shared" si="13"/>
        <v>45677</v>
      </c>
      <c r="Q5" s="1">
        <f t="shared" si="9"/>
        <v>45681</v>
      </c>
      <c r="S5">
        <f t="shared" si="10"/>
        <v>4</v>
      </c>
      <c r="T5" s="1">
        <f t="shared" si="14"/>
        <v>46041</v>
      </c>
      <c r="U5" s="1">
        <f t="shared" si="11"/>
        <v>46045</v>
      </c>
      <c r="Z5">
        <v>2026</v>
      </c>
    </row>
    <row r="6" spans="1:26" x14ac:dyDescent="0.25">
      <c r="A6" s="1"/>
      <c r="C6">
        <f t="shared" si="4"/>
        <v>5</v>
      </c>
      <c r="D6" s="1">
        <f t="shared" si="12"/>
        <v>44592</v>
      </c>
      <c r="E6" s="1">
        <f t="shared" si="5"/>
        <v>44596</v>
      </c>
      <c r="G6">
        <f t="shared" si="0"/>
        <v>5</v>
      </c>
      <c r="H6" s="1">
        <f t="shared" si="6"/>
        <v>44956</v>
      </c>
      <c r="I6" s="1">
        <f t="shared" si="1"/>
        <v>44960</v>
      </c>
      <c r="K6">
        <f t="shared" si="2"/>
        <v>5</v>
      </c>
      <c r="L6" s="1">
        <f t="shared" si="7"/>
        <v>45320</v>
      </c>
      <c r="M6" s="1">
        <f t="shared" si="3"/>
        <v>45324</v>
      </c>
      <c r="O6">
        <f t="shared" si="8"/>
        <v>5</v>
      </c>
      <c r="P6" s="1">
        <f t="shared" si="13"/>
        <v>45684</v>
      </c>
      <c r="Q6" s="1">
        <f t="shared" si="9"/>
        <v>45688</v>
      </c>
      <c r="S6">
        <f t="shared" si="10"/>
        <v>5</v>
      </c>
      <c r="T6" s="1">
        <f t="shared" si="14"/>
        <v>46048</v>
      </c>
      <c r="U6" s="1">
        <f t="shared" si="11"/>
        <v>46052</v>
      </c>
      <c r="Z6">
        <v>2027</v>
      </c>
    </row>
    <row r="7" spans="1:26" x14ac:dyDescent="0.25">
      <c r="C7">
        <f t="shared" si="4"/>
        <v>6</v>
      </c>
      <c r="D7" s="1">
        <f t="shared" si="12"/>
        <v>44599</v>
      </c>
      <c r="E7" s="1">
        <f t="shared" si="5"/>
        <v>44603</v>
      </c>
      <c r="G7">
        <f t="shared" si="0"/>
        <v>6</v>
      </c>
      <c r="H7" s="1">
        <f t="shared" si="6"/>
        <v>44963</v>
      </c>
      <c r="I7" s="1">
        <f t="shared" si="1"/>
        <v>44967</v>
      </c>
      <c r="K7">
        <f t="shared" si="2"/>
        <v>6</v>
      </c>
      <c r="L7" s="1">
        <f t="shared" si="7"/>
        <v>45327</v>
      </c>
      <c r="M7" s="1">
        <f t="shared" si="3"/>
        <v>45331</v>
      </c>
      <c r="O7">
        <f t="shared" si="8"/>
        <v>6</v>
      </c>
      <c r="P7" s="1">
        <f t="shared" si="13"/>
        <v>45691</v>
      </c>
      <c r="Q7" s="1">
        <f t="shared" si="9"/>
        <v>45695</v>
      </c>
      <c r="S7">
        <f t="shared" si="10"/>
        <v>6</v>
      </c>
      <c r="T7" s="1">
        <f t="shared" si="14"/>
        <v>46055</v>
      </c>
      <c r="U7" s="1">
        <f t="shared" si="11"/>
        <v>46059</v>
      </c>
    </row>
    <row r="8" spans="1:26" x14ac:dyDescent="0.25">
      <c r="C8">
        <f t="shared" si="4"/>
        <v>7</v>
      </c>
      <c r="D8" s="1">
        <f t="shared" si="12"/>
        <v>44606</v>
      </c>
      <c r="E8" s="1">
        <f t="shared" si="5"/>
        <v>44610</v>
      </c>
      <c r="G8">
        <f t="shared" si="0"/>
        <v>7</v>
      </c>
      <c r="H8" s="1">
        <f t="shared" si="6"/>
        <v>44970</v>
      </c>
      <c r="I8" s="1">
        <f t="shared" si="1"/>
        <v>44974</v>
      </c>
      <c r="K8">
        <f t="shared" si="2"/>
        <v>7</v>
      </c>
      <c r="L8" s="1">
        <f t="shared" si="7"/>
        <v>45334</v>
      </c>
      <c r="M8" s="1">
        <f t="shared" si="3"/>
        <v>45338</v>
      </c>
      <c r="O8">
        <f t="shared" si="8"/>
        <v>7</v>
      </c>
      <c r="P8" s="1">
        <f t="shared" si="13"/>
        <v>45698</v>
      </c>
      <c r="Q8" s="1">
        <f t="shared" si="9"/>
        <v>45702</v>
      </c>
      <c r="S8">
        <f t="shared" si="10"/>
        <v>7</v>
      </c>
      <c r="T8" s="1">
        <f t="shared" si="14"/>
        <v>46062</v>
      </c>
      <c r="U8" s="1">
        <f t="shared" si="11"/>
        <v>46066</v>
      </c>
    </row>
    <row r="9" spans="1:26" x14ac:dyDescent="0.25">
      <c r="A9" t="str">
        <f>_xlfn.CONCAT(DAY(B3),".",MONTH(B3),".",)</f>
        <v>5.2.</v>
      </c>
      <c r="C9">
        <f t="shared" si="4"/>
        <v>8</v>
      </c>
      <c r="D9" s="1">
        <f t="shared" si="12"/>
        <v>44613</v>
      </c>
      <c r="E9" s="1">
        <f t="shared" si="5"/>
        <v>44617</v>
      </c>
      <c r="G9">
        <f t="shared" si="0"/>
        <v>8</v>
      </c>
      <c r="H9" s="1">
        <f t="shared" si="6"/>
        <v>44977</v>
      </c>
      <c r="I9" s="1">
        <f t="shared" si="1"/>
        <v>44981</v>
      </c>
      <c r="K9">
        <f t="shared" si="2"/>
        <v>8</v>
      </c>
      <c r="L9" s="1">
        <f t="shared" si="7"/>
        <v>45341</v>
      </c>
      <c r="M9" s="1">
        <f t="shared" si="3"/>
        <v>45345</v>
      </c>
      <c r="O9">
        <f t="shared" si="8"/>
        <v>8</v>
      </c>
      <c r="P9" s="1">
        <f t="shared" si="13"/>
        <v>45705</v>
      </c>
      <c r="Q9" s="1">
        <f t="shared" si="9"/>
        <v>45709</v>
      </c>
      <c r="S9">
        <f t="shared" si="10"/>
        <v>8</v>
      </c>
      <c r="T9" s="1">
        <f t="shared" si="14"/>
        <v>46069</v>
      </c>
      <c r="U9" s="1">
        <f t="shared" si="11"/>
        <v>46073</v>
      </c>
    </row>
    <row r="10" spans="1:26" x14ac:dyDescent="0.25">
      <c r="A10" t="str">
        <f>_xlfn.CONCAT(DAY(B4),".",MONTH(B4),".",YEAR(B4),)</f>
        <v>9.2.2024</v>
      </c>
      <c r="C10">
        <f t="shared" si="4"/>
        <v>9</v>
      </c>
      <c r="D10" s="1">
        <f t="shared" si="12"/>
        <v>44620</v>
      </c>
      <c r="E10" s="1">
        <f t="shared" si="5"/>
        <v>44624</v>
      </c>
      <c r="G10">
        <f t="shared" si="0"/>
        <v>9</v>
      </c>
      <c r="H10" s="1">
        <f t="shared" si="6"/>
        <v>44984</v>
      </c>
      <c r="I10" s="1">
        <f t="shared" si="1"/>
        <v>44988</v>
      </c>
      <c r="K10">
        <f t="shared" si="2"/>
        <v>9</v>
      </c>
      <c r="L10" s="1">
        <f t="shared" si="7"/>
        <v>45348</v>
      </c>
      <c r="M10" s="1">
        <f t="shared" si="3"/>
        <v>45352</v>
      </c>
      <c r="O10">
        <f t="shared" si="8"/>
        <v>9</v>
      </c>
      <c r="P10" s="1">
        <f t="shared" si="13"/>
        <v>45712</v>
      </c>
      <c r="Q10" s="1">
        <f t="shared" si="9"/>
        <v>45716</v>
      </c>
      <c r="S10">
        <f t="shared" si="10"/>
        <v>9</v>
      </c>
      <c r="T10" s="1">
        <f t="shared" si="14"/>
        <v>46076</v>
      </c>
      <c r="U10" s="1">
        <f t="shared" si="11"/>
        <v>46080</v>
      </c>
    </row>
    <row r="11" spans="1:26" x14ac:dyDescent="0.25">
      <c r="C11">
        <f t="shared" si="4"/>
        <v>10</v>
      </c>
      <c r="D11" s="1">
        <f t="shared" si="12"/>
        <v>44627</v>
      </c>
      <c r="E11" s="1">
        <f t="shared" si="5"/>
        <v>44631</v>
      </c>
      <c r="G11">
        <f t="shared" si="0"/>
        <v>10</v>
      </c>
      <c r="H11" s="1">
        <f t="shared" si="6"/>
        <v>44991</v>
      </c>
      <c r="I11" s="1">
        <f t="shared" si="1"/>
        <v>44995</v>
      </c>
      <c r="K11">
        <f t="shared" si="2"/>
        <v>10</v>
      </c>
      <c r="L11" s="1">
        <f t="shared" si="7"/>
        <v>45355</v>
      </c>
      <c r="M11" s="1">
        <f t="shared" si="3"/>
        <v>45359</v>
      </c>
      <c r="O11">
        <f t="shared" si="8"/>
        <v>10</v>
      </c>
      <c r="P11" s="1">
        <f t="shared" si="13"/>
        <v>45719</v>
      </c>
      <c r="Q11" s="1">
        <f t="shared" si="9"/>
        <v>45723</v>
      </c>
      <c r="S11">
        <f t="shared" si="10"/>
        <v>10</v>
      </c>
      <c r="T11" s="1">
        <f t="shared" si="14"/>
        <v>46083</v>
      </c>
      <c r="U11" s="1">
        <f t="shared" si="11"/>
        <v>46087</v>
      </c>
    </row>
    <row r="12" spans="1:26" x14ac:dyDescent="0.25">
      <c r="C12">
        <f t="shared" si="4"/>
        <v>11</v>
      </c>
      <c r="D12" s="1">
        <f t="shared" si="12"/>
        <v>44634</v>
      </c>
      <c r="E12" s="1">
        <f t="shared" si="5"/>
        <v>44638</v>
      </c>
      <c r="G12">
        <f t="shared" si="0"/>
        <v>11</v>
      </c>
      <c r="H12" s="1">
        <f t="shared" si="6"/>
        <v>44998</v>
      </c>
      <c r="I12" s="1">
        <f t="shared" si="1"/>
        <v>45002</v>
      </c>
      <c r="K12">
        <f t="shared" ref="K12:K53" si="15">WEEKNUM($L12,21)</f>
        <v>11</v>
      </c>
      <c r="L12" s="1">
        <f t="shared" ref="L12:L53" si="16">$L11+7</f>
        <v>45362</v>
      </c>
      <c r="M12" s="1">
        <f t="shared" ref="M12:M53" si="17">$L12+4</f>
        <v>45366</v>
      </c>
      <c r="O12">
        <f t="shared" si="8"/>
        <v>11</v>
      </c>
      <c r="P12" s="1">
        <f t="shared" si="13"/>
        <v>45726</v>
      </c>
      <c r="Q12" s="1">
        <f t="shared" si="9"/>
        <v>45730</v>
      </c>
      <c r="S12">
        <f t="shared" si="10"/>
        <v>11</v>
      </c>
      <c r="T12" s="1">
        <f t="shared" si="14"/>
        <v>46090</v>
      </c>
      <c r="U12" s="1">
        <f t="shared" si="11"/>
        <v>46094</v>
      </c>
    </row>
    <row r="13" spans="1:26" x14ac:dyDescent="0.25">
      <c r="C13">
        <f t="shared" si="4"/>
        <v>12</v>
      </c>
      <c r="D13" s="1">
        <f t="shared" si="12"/>
        <v>44641</v>
      </c>
      <c r="E13" s="1">
        <f t="shared" si="5"/>
        <v>44645</v>
      </c>
      <c r="G13">
        <f t="shared" si="0"/>
        <v>12</v>
      </c>
      <c r="H13" s="1">
        <f t="shared" si="6"/>
        <v>45005</v>
      </c>
      <c r="I13" s="1">
        <f t="shared" si="1"/>
        <v>45009</v>
      </c>
      <c r="K13">
        <f t="shared" si="15"/>
        <v>12</v>
      </c>
      <c r="L13" s="1">
        <f t="shared" si="16"/>
        <v>45369</v>
      </c>
      <c r="M13" s="1">
        <f t="shared" si="17"/>
        <v>45373</v>
      </c>
      <c r="O13">
        <f t="shared" si="8"/>
        <v>12</v>
      </c>
      <c r="P13" s="1">
        <f t="shared" si="13"/>
        <v>45733</v>
      </c>
      <c r="Q13" s="1">
        <f t="shared" si="9"/>
        <v>45737</v>
      </c>
      <c r="S13">
        <f t="shared" si="10"/>
        <v>12</v>
      </c>
      <c r="T13" s="1">
        <f t="shared" si="14"/>
        <v>46097</v>
      </c>
      <c r="U13" s="1">
        <f t="shared" si="11"/>
        <v>46101</v>
      </c>
    </row>
    <row r="14" spans="1:26" x14ac:dyDescent="0.25">
      <c r="C14">
        <f t="shared" si="4"/>
        <v>13</v>
      </c>
      <c r="D14" s="1">
        <f t="shared" si="12"/>
        <v>44648</v>
      </c>
      <c r="E14" s="1">
        <f t="shared" si="5"/>
        <v>44652</v>
      </c>
      <c r="G14">
        <f t="shared" si="0"/>
        <v>13</v>
      </c>
      <c r="H14" s="1">
        <f t="shared" si="6"/>
        <v>45012</v>
      </c>
      <c r="I14" s="1">
        <f t="shared" si="1"/>
        <v>45016</v>
      </c>
      <c r="K14">
        <f t="shared" si="15"/>
        <v>13</v>
      </c>
      <c r="L14" s="1">
        <f t="shared" si="16"/>
        <v>45376</v>
      </c>
      <c r="M14" s="1">
        <f t="shared" si="17"/>
        <v>45380</v>
      </c>
      <c r="O14">
        <f t="shared" si="8"/>
        <v>13</v>
      </c>
      <c r="P14" s="1">
        <f t="shared" si="13"/>
        <v>45740</v>
      </c>
      <c r="Q14" s="1">
        <f t="shared" si="9"/>
        <v>45744</v>
      </c>
      <c r="S14">
        <f t="shared" si="10"/>
        <v>13</v>
      </c>
      <c r="T14" s="1">
        <f t="shared" si="14"/>
        <v>46104</v>
      </c>
      <c r="U14" s="1">
        <f t="shared" si="11"/>
        <v>46108</v>
      </c>
    </row>
    <row r="15" spans="1:26" x14ac:dyDescent="0.25">
      <c r="C15">
        <f t="shared" si="4"/>
        <v>14</v>
      </c>
      <c r="D15" s="1">
        <f t="shared" si="12"/>
        <v>44655</v>
      </c>
      <c r="E15" s="1">
        <f t="shared" si="5"/>
        <v>44659</v>
      </c>
      <c r="G15">
        <f t="shared" si="0"/>
        <v>14</v>
      </c>
      <c r="H15" s="1">
        <f t="shared" si="6"/>
        <v>45019</v>
      </c>
      <c r="I15" s="1">
        <f t="shared" si="1"/>
        <v>45023</v>
      </c>
      <c r="K15">
        <f t="shared" si="15"/>
        <v>14</v>
      </c>
      <c r="L15" s="1">
        <f t="shared" si="16"/>
        <v>45383</v>
      </c>
      <c r="M15" s="1">
        <f t="shared" si="17"/>
        <v>45387</v>
      </c>
      <c r="O15">
        <f t="shared" si="8"/>
        <v>14</v>
      </c>
      <c r="P15" s="1">
        <f t="shared" si="13"/>
        <v>45747</v>
      </c>
      <c r="Q15" s="1">
        <f t="shared" si="9"/>
        <v>45751</v>
      </c>
      <c r="S15">
        <f t="shared" si="10"/>
        <v>14</v>
      </c>
      <c r="T15" s="1">
        <f t="shared" si="14"/>
        <v>46111</v>
      </c>
      <c r="U15" s="1">
        <f t="shared" si="11"/>
        <v>46115</v>
      </c>
    </row>
    <row r="16" spans="1:26" x14ac:dyDescent="0.25">
      <c r="C16">
        <f t="shared" si="4"/>
        <v>15</v>
      </c>
      <c r="D16" s="1">
        <f t="shared" si="12"/>
        <v>44662</v>
      </c>
      <c r="E16" s="1">
        <f t="shared" si="5"/>
        <v>44666</v>
      </c>
      <c r="G16">
        <f t="shared" si="0"/>
        <v>15</v>
      </c>
      <c r="H16" s="1">
        <f t="shared" si="6"/>
        <v>45026</v>
      </c>
      <c r="I16" s="1">
        <f t="shared" si="1"/>
        <v>45030</v>
      </c>
      <c r="K16">
        <f t="shared" si="15"/>
        <v>15</v>
      </c>
      <c r="L16" s="1">
        <f t="shared" si="16"/>
        <v>45390</v>
      </c>
      <c r="M16" s="1">
        <f t="shared" si="17"/>
        <v>45394</v>
      </c>
      <c r="O16">
        <f t="shared" si="8"/>
        <v>15</v>
      </c>
      <c r="P16" s="1">
        <f t="shared" si="13"/>
        <v>45754</v>
      </c>
      <c r="Q16" s="1">
        <f t="shared" si="9"/>
        <v>45758</v>
      </c>
      <c r="S16">
        <f t="shared" si="10"/>
        <v>15</v>
      </c>
      <c r="T16" s="1">
        <f t="shared" si="14"/>
        <v>46118</v>
      </c>
      <c r="U16" s="1">
        <f t="shared" si="11"/>
        <v>46122</v>
      </c>
    </row>
    <row r="17" spans="3:21" x14ac:dyDescent="0.25">
      <c r="C17">
        <f t="shared" si="4"/>
        <v>16</v>
      </c>
      <c r="D17" s="1">
        <f t="shared" si="12"/>
        <v>44669</v>
      </c>
      <c r="E17" s="1">
        <f t="shared" si="5"/>
        <v>44673</v>
      </c>
      <c r="G17">
        <f t="shared" si="0"/>
        <v>16</v>
      </c>
      <c r="H17" s="1">
        <f t="shared" si="6"/>
        <v>45033</v>
      </c>
      <c r="I17" s="1">
        <f t="shared" si="1"/>
        <v>45037</v>
      </c>
      <c r="K17">
        <f t="shared" si="15"/>
        <v>16</v>
      </c>
      <c r="L17" s="1">
        <f t="shared" si="16"/>
        <v>45397</v>
      </c>
      <c r="M17" s="1">
        <f t="shared" si="17"/>
        <v>45401</v>
      </c>
      <c r="O17">
        <f t="shared" si="8"/>
        <v>16</v>
      </c>
      <c r="P17" s="1">
        <f t="shared" si="13"/>
        <v>45761</v>
      </c>
      <c r="Q17" s="1">
        <f t="shared" si="9"/>
        <v>45765</v>
      </c>
      <c r="S17">
        <f t="shared" si="10"/>
        <v>16</v>
      </c>
      <c r="T17" s="1">
        <f t="shared" si="14"/>
        <v>46125</v>
      </c>
      <c r="U17" s="1">
        <f t="shared" si="11"/>
        <v>46129</v>
      </c>
    </row>
    <row r="18" spans="3:21" x14ac:dyDescent="0.25">
      <c r="C18">
        <f t="shared" si="4"/>
        <v>17</v>
      </c>
      <c r="D18" s="1">
        <f t="shared" si="12"/>
        <v>44676</v>
      </c>
      <c r="E18" s="1">
        <f t="shared" si="5"/>
        <v>44680</v>
      </c>
      <c r="G18">
        <f t="shared" si="0"/>
        <v>17</v>
      </c>
      <c r="H18" s="1">
        <f t="shared" si="6"/>
        <v>45040</v>
      </c>
      <c r="I18" s="1">
        <f t="shared" si="1"/>
        <v>45044</v>
      </c>
      <c r="K18">
        <f t="shared" si="15"/>
        <v>17</v>
      </c>
      <c r="L18" s="1">
        <f t="shared" si="16"/>
        <v>45404</v>
      </c>
      <c r="M18" s="1">
        <f t="shared" si="17"/>
        <v>45408</v>
      </c>
      <c r="O18">
        <f t="shared" si="8"/>
        <v>17</v>
      </c>
      <c r="P18" s="1">
        <f t="shared" si="13"/>
        <v>45768</v>
      </c>
      <c r="Q18" s="1">
        <f t="shared" si="9"/>
        <v>45772</v>
      </c>
      <c r="S18">
        <f t="shared" si="10"/>
        <v>17</v>
      </c>
      <c r="T18" s="1">
        <f t="shared" si="14"/>
        <v>46132</v>
      </c>
      <c r="U18" s="1">
        <f t="shared" si="11"/>
        <v>46136</v>
      </c>
    </row>
    <row r="19" spans="3:21" x14ac:dyDescent="0.25">
      <c r="C19">
        <f t="shared" si="4"/>
        <v>18</v>
      </c>
      <c r="D19" s="1">
        <f t="shared" si="12"/>
        <v>44683</v>
      </c>
      <c r="E19" s="1">
        <f t="shared" si="5"/>
        <v>44687</v>
      </c>
      <c r="G19">
        <f t="shared" si="0"/>
        <v>18</v>
      </c>
      <c r="H19" s="1">
        <f t="shared" si="6"/>
        <v>45047</v>
      </c>
      <c r="I19" s="1">
        <f t="shared" si="1"/>
        <v>45051</v>
      </c>
      <c r="K19">
        <f t="shared" si="15"/>
        <v>18</v>
      </c>
      <c r="L19" s="1">
        <f t="shared" si="16"/>
        <v>45411</v>
      </c>
      <c r="M19" s="1">
        <f t="shared" si="17"/>
        <v>45415</v>
      </c>
      <c r="O19">
        <f t="shared" si="8"/>
        <v>18</v>
      </c>
      <c r="P19" s="1">
        <f t="shared" si="13"/>
        <v>45775</v>
      </c>
      <c r="Q19" s="1">
        <f t="shared" si="9"/>
        <v>45779</v>
      </c>
      <c r="S19">
        <f t="shared" si="10"/>
        <v>18</v>
      </c>
      <c r="T19" s="1">
        <f t="shared" si="14"/>
        <v>46139</v>
      </c>
      <c r="U19" s="1">
        <f t="shared" si="11"/>
        <v>46143</v>
      </c>
    </row>
    <row r="20" spans="3:21" x14ac:dyDescent="0.25">
      <c r="C20">
        <f t="shared" si="4"/>
        <v>19</v>
      </c>
      <c r="D20" s="1">
        <f t="shared" si="12"/>
        <v>44690</v>
      </c>
      <c r="E20" s="1">
        <f t="shared" si="5"/>
        <v>44694</v>
      </c>
      <c r="G20">
        <f t="shared" si="0"/>
        <v>19</v>
      </c>
      <c r="H20" s="1">
        <f t="shared" si="6"/>
        <v>45054</v>
      </c>
      <c r="I20" s="1">
        <f t="shared" si="1"/>
        <v>45058</v>
      </c>
      <c r="K20">
        <f t="shared" si="15"/>
        <v>19</v>
      </c>
      <c r="L20" s="1">
        <f t="shared" si="16"/>
        <v>45418</v>
      </c>
      <c r="M20" s="1">
        <f t="shared" si="17"/>
        <v>45422</v>
      </c>
      <c r="O20">
        <f t="shared" si="8"/>
        <v>19</v>
      </c>
      <c r="P20" s="1">
        <f t="shared" si="13"/>
        <v>45782</v>
      </c>
      <c r="Q20" s="1">
        <f t="shared" si="9"/>
        <v>45786</v>
      </c>
      <c r="S20">
        <f t="shared" si="10"/>
        <v>19</v>
      </c>
      <c r="T20" s="1">
        <f t="shared" si="14"/>
        <v>46146</v>
      </c>
      <c r="U20" s="1">
        <f t="shared" si="11"/>
        <v>46150</v>
      </c>
    </row>
    <row r="21" spans="3:21" x14ac:dyDescent="0.25">
      <c r="C21">
        <f t="shared" si="4"/>
        <v>20</v>
      </c>
      <c r="D21" s="1">
        <f t="shared" si="12"/>
        <v>44697</v>
      </c>
      <c r="E21" s="1">
        <f t="shared" si="5"/>
        <v>44701</v>
      </c>
      <c r="G21">
        <f t="shared" si="0"/>
        <v>20</v>
      </c>
      <c r="H21" s="1">
        <f t="shared" si="6"/>
        <v>45061</v>
      </c>
      <c r="I21" s="1">
        <f t="shared" si="1"/>
        <v>45065</v>
      </c>
      <c r="K21">
        <f t="shared" si="15"/>
        <v>20</v>
      </c>
      <c r="L21" s="1">
        <f t="shared" si="16"/>
        <v>45425</v>
      </c>
      <c r="M21" s="1">
        <f t="shared" si="17"/>
        <v>45429</v>
      </c>
      <c r="O21">
        <f t="shared" si="8"/>
        <v>20</v>
      </c>
      <c r="P21" s="1">
        <f t="shared" si="13"/>
        <v>45789</v>
      </c>
      <c r="Q21" s="1">
        <f t="shared" si="9"/>
        <v>45793</v>
      </c>
      <c r="S21">
        <f t="shared" si="10"/>
        <v>20</v>
      </c>
      <c r="T21" s="1">
        <f t="shared" si="14"/>
        <v>46153</v>
      </c>
      <c r="U21" s="1">
        <f t="shared" si="11"/>
        <v>46157</v>
      </c>
    </row>
    <row r="22" spans="3:21" x14ac:dyDescent="0.25">
      <c r="C22">
        <f t="shared" si="4"/>
        <v>21</v>
      </c>
      <c r="D22" s="1">
        <f t="shared" si="12"/>
        <v>44704</v>
      </c>
      <c r="E22" s="1">
        <f t="shared" si="5"/>
        <v>44708</v>
      </c>
      <c r="G22">
        <f t="shared" si="0"/>
        <v>21</v>
      </c>
      <c r="H22" s="1">
        <f t="shared" si="6"/>
        <v>45068</v>
      </c>
      <c r="I22" s="1">
        <f t="shared" si="1"/>
        <v>45072</v>
      </c>
      <c r="K22">
        <f t="shared" si="15"/>
        <v>21</v>
      </c>
      <c r="L22" s="1">
        <f t="shared" si="16"/>
        <v>45432</v>
      </c>
      <c r="M22" s="1">
        <f t="shared" si="17"/>
        <v>45436</v>
      </c>
      <c r="O22">
        <f t="shared" si="8"/>
        <v>21</v>
      </c>
      <c r="P22" s="1">
        <f t="shared" si="13"/>
        <v>45796</v>
      </c>
      <c r="Q22" s="1">
        <f t="shared" si="9"/>
        <v>45800</v>
      </c>
      <c r="S22">
        <f t="shared" si="10"/>
        <v>21</v>
      </c>
      <c r="T22" s="1">
        <f t="shared" si="14"/>
        <v>46160</v>
      </c>
      <c r="U22" s="1">
        <f t="shared" si="11"/>
        <v>46164</v>
      </c>
    </row>
    <row r="23" spans="3:21" x14ac:dyDescent="0.25">
      <c r="C23">
        <f t="shared" si="4"/>
        <v>22</v>
      </c>
      <c r="D23" s="1">
        <f t="shared" si="12"/>
        <v>44711</v>
      </c>
      <c r="E23" s="1">
        <f t="shared" si="5"/>
        <v>44715</v>
      </c>
      <c r="G23">
        <f t="shared" si="0"/>
        <v>22</v>
      </c>
      <c r="H23" s="1">
        <f t="shared" si="6"/>
        <v>45075</v>
      </c>
      <c r="I23" s="1">
        <f t="shared" si="1"/>
        <v>45079</v>
      </c>
      <c r="K23">
        <f t="shared" si="15"/>
        <v>22</v>
      </c>
      <c r="L23" s="1">
        <f t="shared" si="16"/>
        <v>45439</v>
      </c>
      <c r="M23" s="1">
        <f t="shared" si="17"/>
        <v>45443</v>
      </c>
      <c r="O23">
        <f t="shared" si="8"/>
        <v>22</v>
      </c>
      <c r="P23" s="1">
        <f t="shared" si="13"/>
        <v>45803</v>
      </c>
      <c r="Q23" s="1">
        <f t="shared" si="9"/>
        <v>45807</v>
      </c>
      <c r="S23">
        <f t="shared" si="10"/>
        <v>22</v>
      </c>
      <c r="T23" s="1">
        <f t="shared" si="14"/>
        <v>46167</v>
      </c>
      <c r="U23" s="1">
        <f t="shared" si="11"/>
        <v>46171</v>
      </c>
    </row>
    <row r="24" spans="3:21" x14ac:dyDescent="0.25">
      <c r="C24">
        <f t="shared" si="4"/>
        <v>23</v>
      </c>
      <c r="D24" s="1">
        <f t="shared" si="12"/>
        <v>44718</v>
      </c>
      <c r="E24" s="1">
        <f t="shared" si="5"/>
        <v>44722</v>
      </c>
      <c r="G24">
        <f t="shared" si="0"/>
        <v>23</v>
      </c>
      <c r="H24" s="1">
        <f t="shared" si="6"/>
        <v>45082</v>
      </c>
      <c r="I24" s="1">
        <f t="shared" si="1"/>
        <v>45086</v>
      </c>
      <c r="K24">
        <f t="shared" si="15"/>
        <v>23</v>
      </c>
      <c r="L24" s="1">
        <f t="shared" si="16"/>
        <v>45446</v>
      </c>
      <c r="M24" s="1">
        <f t="shared" si="17"/>
        <v>45450</v>
      </c>
      <c r="O24">
        <f t="shared" si="8"/>
        <v>23</v>
      </c>
      <c r="P24" s="1">
        <f t="shared" si="13"/>
        <v>45810</v>
      </c>
      <c r="Q24" s="1">
        <f t="shared" si="9"/>
        <v>45814</v>
      </c>
      <c r="S24">
        <f t="shared" si="10"/>
        <v>23</v>
      </c>
      <c r="T24" s="1">
        <f t="shared" si="14"/>
        <v>46174</v>
      </c>
      <c r="U24" s="1">
        <f t="shared" si="11"/>
        <v>46178</v>
      </c>
    </row>
    <row r="25" spans="3:21" x14ac:dyDescent="0.25">
      <c r="C25">
        <f t="shared" si="4"/>
        <v>24</v>
      </c>
      <c r="D25" s="1">
        <f t="shared" si="12"/>
        <v>44725</v>
      </c>
      <c r="E25" s="1">
        <f t="shared" si="5"/>
        <v>44729</v>
      </c>
      <c r="G25">
        <f t="shared" si="0"/>
        <v>24</v>
      </c>
      <c r="H25" s="1">
        <f t="shared" si="6"/>
        <v>45089</v>
      </c>
      <c r="I25" s="1">
        <f t="shared" si="1"/>
        <v>45093</v>
      </c>
      <c r="K25">
        <f t="shared" si="15"/>
        <v>24</v>
      </c>
      <c r="L25" s="1">
        <f t="shared" si="16"/>
        <v>45453</v>
      </c>
      <c r="M25" s="1">
        <f t="shared" si="17"/>
        <v>45457</v>
      </c>
      <c r="O25">
        <f t="shared" si="8"/>
        <v>24</v>
      </c>
      <c r="P25" s="1">
        <f t="shared" si="13"/>
        <v>45817</v>
      </c>
      <c r="Q25" s="1">
        <f t="shared" si="9"/>
        <v>45821</v>
      </c>
      <c r="S25">
        <f t="shared" si="10"/>
        <v>24</v>
      </c>
      <c r="T25" s="1">
        <f t="shared" si="14"/>
        <v>46181</v>
      </c>
      <c r="U25" s="1">
        <f t="shared" si="11"/>
        <v>46185</v>
      </c>
    </row>
    <row r="26" spans="3:21" x14ac:dyDescent="0.25">
      <c r="C26">
        <f t="shared" si="4"/>
        <v>25</v>
      </c>
      <c r="D26" s="1">
        <f t="shared" si="12"/>
        <v>44732</v>
      </c>
      <c r="E26" s="1">
        <f t="shared" si="5"/>
        <v>44736</v>
      </c>
      <c r="G26">
        <f t="shared" si="0"/>
        <v>25</v>
      </c>
      <c r="H26" s="1">
        <f t="shared" si="6"/>
        <v>45096</v>
      </c>
      <c r="I26" s="1">
        <f t="shared" si="1"/>
        <v>45100</v>
      </c>
      <c r="K26">
        <f t="shared" si="15"/>
        <v>25</v>
      </c>
      <c r="L26" s="1">
        <f t="shared" si="16"/>
        <v>45460</v>
      </c>
      <c r="M26" s="1">
        <f t="shared" si="17"/>
        <v>45464</v>
      </c>
      <c r="O26">
        <f t="shared" si="8"/>
        <v>25</v>
      </c>
      <c r="P26" s="1">
        <f t="shared" si="13"/>
        <v>45824</v>
      </c>
      <c r="Q26" s="1">
        <f t="shared" si="9"/>
        <v>45828</v>
      </c>
      <c r="S26">
        <f t="shared" si="10"/>
        <v>25</v>
      </c>
      <c r="T26" s="1">
        <f t="shared" si="14"/>
        <v>46188</v>
      </c>
      <c r="U26" s="1">
        <f t="shared" si="11"/>
        <v>46192</v>
      </c>
    </row>
    <row r="27" spans="3:21" x14ac:dyDescent="0.25">
      <c r="C27">
        <f t="shared" si="4"/>
        <v>26</v>
      </c>
      <c r="D27" s="1">
        <f t="shared" si="12"/>
        <v>44739</v>
      </c>
      <c r="E27" s="1">
        <f t="shared" si="5"/>
        <v>44743</v>
      </c>
      <c r="G27">
        <f t="shared" si="0"/>
        <v>26</v>
      </c>
      <c r="H27" s="1">
        <f t="shared" si="6"/>
        <v>45103</v>
      </c>
      <c r="I27" s="1">
        <f t="shared" si="1"/>
        <v>45107</v>
      </c>
      <c r="K27">
        <f t="shared" si="15"/>
        <v>26</v>
      </c>
      <c r="L27" s="1">
        <f t="shared" si="16"/>
        <v>45467</v>
      </c>
      <c r="M27" s="1">
        <f t="shared" si="17"/>
        <v>45471</v>
      </c>
      <c r="O27">
        <f t="shared" si="8"/>
        <v>26</v>
      </c>
      <c r="P27" s="1">
        <f t="shared" si="13"/>
        <v>45831</v>
      </c>
      <c r="Q27" s="1">
        <f t="shared" si="9"/>
        <v>45835</v>
      </c>
      <c r="S27">
        <f t="shared" si="10"/>
        <v>26</v>
      </c>
      <c r="T27" s="1">
        <f t="shared" si="14"/>
        <v>46195</v>
      </c>
      <c r="U27" s="1">
        <f t="shared" si="11"/>
        <v>46199</v>
      </c>
    </row>
    <row r="28" spans="3:21" x14ac:dyDescent="0.25">
      <c r="C28">
        <f t="shared" si="4"/>
        <v>27</v>
      </c>
      <c r="D28" s="1">
        <f t="shared" si="12"/>
        <v>44746</v>
      </c>
      <c r="E28" s="1">
        <f t="shared" si="5"/>
        <v>44750</v>
      </c>
      <c r="G28">
        <f t="shared" si="0"/>
        <v>27</v>
      </c>
      <c r="H28" s="1">
        <f t="shared" si="6"/>
        <v>45110</v>
      </c>
      <c r="I28" s="1">
        <f t="shared" si="1"/>
        <v>45114</v>
      </c>
      <c r="K28">
        <f t="shared" si="15"/>
        <v>27</v>
      </c>
      <c r="L28" s="1">
        <f t="shared" si="16"/>
        <v>45474</v>
      </c>
      <c r="M28" s="1">
        <f t="shared" si="17"/>
        <v>45478</v>
      </c>
      <c r="O28">
        <f t="shared" si="8"/>
        <v>27</v>
      </c>
      <c r="P28" s="1">
        <f t="shared" si="13"/>
        <v>45838</v>
      </c>
      <c r="Q28" s="1">
        <f t="shared" si="9"/>
        <v>45842</v>
      </c>
      <c r="S28">
        <f t="shared" si="10"/>
        <v>27</v>
      </c>
      <c r="T28" s="1">
        <f t="shared" si="14"/>
        <v>46202</v>
      </c>
      <c r="U28" s="1">
        <f t="shared" si="11"/>
        <v>46206</v>
      </c>
    </row>
    <row r="29" spans="3:21" x14ac:dyDescent="0.25">
      <c r="C29">
        <f t="shared" si="4"/>
        <v>28</v>
      </c>
      <c r="D29" s="1">
        <f t="shared" si="12"/>
        <v>44753</v>
      </c>
      <c r="E29" s="1">
        <f t="shared" si="5"/>
        <v>44757</v>
      </c>
      <c r="G29">
        <f t="shared" si="0"/>
        <v>28</v>
      </c>
      <c r="H29" s="1">
        <f t="shared" si="6"/>
        <v>45117</v>
      </c>
      <c r="I29" s="1">
        <f t="shared" si="1"/>
        <v>45121</v>
      </c>
      <c r="K29">
        <f t="shared" si="15"/>
        <v>28</v>
      </c>
      <c r="L29" s="1">
        <f t="shared" si="16"/>
        <v>45481</v>
      </c>
      <c r="M29" s="1">
        <f t="shared" si="17"/>
        <v>45485</v>
      </c>
      <c r="O29">
        <f t="shared" si="8"/>
        <v>28</v>
      </c>
      <c r="P29" s="1">
        <f t="shared" si="13"/>
        <v>45845</v>
      </c>
      <c r="Q29" s="1">
        <f t="shared" si="9"/>
        <v>45849</v>
      </c>
      <c r="S29">
        <f t="shared" si="10"/>
        <v>28</v>
      </c>
      <c r="T29" s="1">
        <f t="shared" si="14"/>
        <v>46209</v>
      </c>
      <c r="U29" s="1">
        <f t="shared" si="11"/>
        <v>46213</v>
      </c>
    </row>
    <row r="30" spans="3:21" x14ac:dyDescent="0.25">
      <c r="C30">
        <f t="shared" si="4"/>
        <v>29</v>
      </c>
      <c r="D30" s="1">
        <f t="shared" si="12"/>
        <v>44760</v>
      </c>
      <c r="E30" s="1">
        <f t="shared" si="5"/>
        <v>44764</v>
      </c>
      <c r="G30">
        <f t="shared" si="0"/>
        <v>29</v>
      </c>
      <c r="H30" s="1">
        <f t="shared" si="6"/>
        <v>45124</v>
      </c>
      <c r="I30" s="1">
        <f t="shared" si="1"/>
        <v>45128</v>
      </c>
      <c r="K30">
        <f t="shared" si="15"/>
        <v>29</v>
      </c>
      <c r="L30" s="1">
        <f t="shared" si="16"/>
        <v>45488</v>
      </c>
      <c r="M30" s="1">
        <f t="shared" si="17"/>
        <v>45492</v>
      </c>
      <c r="O30">
        <f t="shared" si="8"/>
        <v>29</v>
      </c>
      <c r="P30" s="1">
        <f t="shared" si="13"/>
        <v>45852</v>
      </c>
      <c r="Q30" s="1">
        <f t="shared" si="9"/>
        <v>45856</v>
      </c>
      <c r="S30">
        <f t="shared" si="10"/>
        <v>29</v>
      </c>
      <c r="T30" s="1">
        <f t="shared" si="14"/>
        <v>46216</v>
      </c>
      <c r="U30" s="1">
        <f t="shared" si="11"/>
        <v>46220</v>
      </c>
    </row>
    <row r="31" spans="3:21" x14ac:dyDescent="0.25">
      <c r="C31">
        <f t="shared" si="4"/>
        <v>30</v>
      </c>
      <c r="D31" s="1">
        <f t="shared" si="12"/>
        <v>44767</v>
      </c>
      <c r="E31" s="1">
        <f t="shared" si="5"/>
        <v>44771</v>
      </c>
      <c r="G31">
        <f t="shared" si="0"/>
        <v>30</v>
      </c>
      <c r="H31" s="1">
        <f t="shared" si="6"/>
        <v>45131</v>
      </c>
      <c r="I31" s="1">
        <f t="shared" si="1"/>
        <v>45135</v>
      </c>
      <c r="K31">
        <f t="shared" si="15"/>
        <v>30</v>
      </c>
      <c r="L31" s="1">
        <f t="shared" si="16"/>
        <v>45495</v>
      </c>
      <c r="M31" s="1">
        <f t="shared" si="17"/>
        <v>45499</v>
      </c>
      <c r="O31">
        <f t="shared" si="8"/>
        <v>30</v>
      </c>
      <c r="P31" s="1">
        <f t="shared" si="13"/>
        <v>45859</v>
      </c>
      <c r="Q31" s="1">
        <f t="shared" si="9"/>
        <v>45863</v>
      </c>
      <c r="S31">
        <f t="shared" si="10"/>
        <v>30</v>
      </c>
      <c r="T31" s="1">
        <f t="shared" si="14"/>
        <v>46223</v>
      </c>
      <c r="U31" s="1">
        <f t="shared" si="11"/>
        <v>46227</v>
      </c>
    </row>
    <row r="32" spans="3:21" x14ac:dyDescent="0.25">
      <c r="C32">
        <f t="shared" si="4"/>
        <v>31</v>
      </c>
      <c r="D32" s="1">
        <f t="shared" si="12"/>
        <v>44774</v>
      </c>
      <c r="E32" s="1">
        <f t="shared" si="5"/>
        <v>44778</v>
      </c>
      <c r="G32">
        <f t="shared" si="0"/>
        <v>31</v>
      </c>
      <c r="H32" s="1">
        <f t="shared" si="6"/>
        <v>45138</v>
      </c>
      <c r="I32" s="1">
        <f t="shared" si="1"/>
        <v>45142</v>
      </c>
      <c r="K32">
        <f t="shared" si="15"/>
        <v>31</v>
      </c>
      <c r="L32" s="1">
        <f t="shared" si="16"/>
        <v>45502</v>
      </c>
      <c r="M32" s="1">
        <f t="shared" si="17"/>
        <v>45506</v>
      </c>
      <c r="O32">
        <f t="shared" si="8"/>
        <v>31</v>
      </c>
      <c r="P32" s="1">
        <f t="shared" si="13"/>
        <v>45866</v>
      </c>
      <c r="Q32" s="1">
        <f t="shared" si="9"/>
        <v>45870</v>
      </c>
      <c r="S32">
        <f t="shared" si="10"/>
        <v>31</v>
      </c>
      <c r="T32" s="1">
        <f t="shared" si="14"/>
        <v>46230</v>
      </c>
      <c r="U32" s="1">
        <f t="shared" si="11"/>
        <v>46234</v>
      </c>
    </row>
    <row r="33" spans="3:21" x14ac:dyDescent="0.25">
      <c r="C33">
        <f t="shared" si="4"/>
        <v>32</v>
      </c>
      <c r="D33" s="1">
        <f t="shared" si="12"/>
        <v>44781</v>
      </c>
      <c r="E33" s="1">
        <f t="shared" si="5"/>
        <v>44785</v>
      </c>
      <c r="G33">
        <f t="shared" si="0"/>
        <v>32</v>
      </c>
      <c r="H33" s="1">
        <f t="shared" si="6"/>
        <v>45145</v>
      </c>
      <c r="I33" s="1">
        <f t="shared" si="1"/>
        <v>45149</v>
      </c>
      <c r="K33">
        <f t="shared" si="15"/>
        <v>32</v>
      </c>
      <c r="L33" s="1">
        <f t="shared" si="16"/>
        <v>45509</v>
      </c>
      <c r="M33" s="1">
        <f t="shared" si="17"/>
        <v>45513</v>
      </c>
      <c r="O33">
        <f t="shared" si="8"/>
        <v>32</v>
      </c>
      <c r="P33" s="1">
        <f t="shared" si="13"/>
        <v>45873</v>
      </c>
      <c r="Q33" s="1">
        <f t="shared" si="9"/>
        <v>45877</v>
      </c>
      <c r="S33">
        <f t="shared" si="10"/>
        <v>32</v>
      </c>
      <c r="T33" s="1">
        <f t="shared" si="14"/>
        <v>46237</v>
      </c>
      <c r="U33" s="1">
        <f t="shared" si="11"/>
        <v>46241</v>
      </c>
    </row>
    <row r="34" spans="3:21" x14ac:dyDescent="0.25">
      <c r="C34">
        <f t="shared" si="4"/>
        <v>33</v>
      </c>
      <c r="D34" s="1">
        <f t="shared" si="12"/>
        <v>44788</v>
      </c>
      <c r="E34" s="1">
        <f t="shared" si="5"/>
        <v>44792</v>
      </c>
      <c r="G34">
        <f t="shared" ref="G34:G53" si="18">WEEKNUM($H34,21)</f>
        <v>33</v>
      </c>
      <c r="H34" s="1">
        <f t="shared" si="6"/>
        <v>45152</v>
      </c>
      <c r="I34" s="1">
        <f t="shared" ref="I34:I53" si="19">$H34+4</f>
        <v>45156</v>
      </c>
      <c r="K34">
        <f t="shared" si="15"/>
        <v>33</v>
      </c>
      <c r="L34" s="1">
        <f t="shared" si="16"/>
        <v>45516</v>
      </c>
      <c r="M34" s="1">
        <f t="shared" si="17"/>
        <v>45520</v>
      </c>
      <c r="O34">
        <f t="shared" si="8"/>
        <v>33</v>
      </c>
      <c r="P34" s="1">
        <f t="shared" si="13"/>
        <v>45880</v>
      </c>
      <c r="Q34" s="1">
        <f t="shared" si="9"/>
        <v>45884</v>
      </c>
      <c r="S34">
        <f t="shared" si="10"/>
        <v>33</v>
      </c>
      <c r="T34" s="1">
        <f t="shared" si="14"/>
        <v>46244</v>
      </c>
      <c r="U34" s="1">
        <f t="shared" si="11"/>
        <v>46248</v>
      </c>
    </row>
    <row r="35" spans="3:21" x14ac:dyDescent="0.25">
      <c r="C35">
        <f t="shared" si="4"/>
        <v>34</v>
      </c>
      <c r="D35" s="1">
        <f t="shared" si="12"/>
        <v>44795</v>
      </c>
      <c r="E35" s="1">
        <f t="shared" si="5"/>
        <v>44799</v>
      </c>
      <c r="G35">
        <f t="shared" si="18"/>
        <v>34</v>
      </c>
      <c r="H35" s="1">
        <f t="shared" ref="H35:H53" si="20">$H34+7</f>
        <v>45159</v>
      </c>
      <c r="I35" s="1">
        <f t="shared" si="19"/>
        <v>45163</v>
      </c>
      <c r="K35">
        <f t="shared" si="15"/>
        <v>34</v>
      </c>
      <c r="L35" s="1">
        <f t="shared" si="16"/>
        <v>45523</v>
      </c>
      <c r="M35" s="1">
        <f t="shared" si="17"/>
        <v>45527</v>
      </c>
      <c r="O35">
        <f t="shared" si="8"/>
        <v>34</v>
      </c>
      <c r="P35" s="1">
        <f t="shared" si="13"/>
        <v>45887</v>
      </c>
      <c r="Q35" s="1">
        <f t="shared" si="9"/>
        <v>45891</v>
      </c>
      <c r="S35">
        <f t="shared" si="10"/>
        <v>34</v>
      </c>
      <c r="T35" s="1">
        <f t="shared" si="14"/>
        <v>46251</v>
      </c>
      <c r="U35" s="1">
        <f t="shared" si="11"/>
        <v>46255</v>
      </c>
    </row>
    <row r="36" spans="3:21" x14ac:dyDescent="0.25">
      <c r="C36">
        <f t="shared" si="4"/>
        <v>35</v>
      </c>
      <c r="D36" s="1">
        <f t="shared" si="12"/>
        <v>44802</v>
      </c>
      <c r="E36" s="1">
        <f t="shared" si="5"/>
        <v>44806</v>
      </c>
      <c r="G36">
        <f t="shared" si="18"/>
        <v>35</v>
      </c>
      <c r="H36" s="1">
        <f t="shared" si="20"/>
        <v>45166</v>
      </c>
      <c r="I36" s="1">
        <f t="shared" si="19"/>
        <v>45170</v>
      </c>
      <c r="K36">
        <f t="shared" si="15"/>
        <v>35</v>
      </c>
      <c r="L36" s="1">
        <f t="shared" si="16"/>
        <v>45530</v>
      </c>
      <c r="M36" s="1">
        <f t="shared" si="17"/>
        <v>45534</v>
      </c>
      <c r="O36">
        <f t="shared" si="8"/>
        <v>35</v>
      </c>
      <c r="P36" s="1">
        <f t="shared" si="13"/>
        <v>45894</v>
      </c>
      <c r="Q36" s="1">
        <f t="shared" si="9"/>
        <v>45898</v>
      </c>
      <c r="S36">
        <f t="shared" si="10"/>
        <v>35</v>
      </c>
      <c r="T36" s="1">
        <f t="shared" si="14"/>
        <v>46258</v>
      </c>
      <c r="U36" s="1">
        <f t="shared" si="11"/>
        <v>46262</v>
      </c>
    </row>
    <row r="37" spans="3:21" x14ac:dyDescent="0.25">
      <c r="C37">
        <f t="shared" si="4"/>
        <v>36</v>
      </c>
      <c r="D37" s="1">
        <f t="shared" si="12"/>
        <v>44809</v>
      </c>
      <c r="E37" s="1">
        <f t="shared" si="5"/>
        <v>44813</v>
      </c>
      <c r="G37">
        <f t="shared" si="18"/>
        <v>36</v>
      </c>
      <c r="H37" s="1">
        <f t="shared" si="20"/>
        <v>45173</v>
      </c>
      <c r="I37" s="1">
        <f t="shared" si="19"/>
        <v>45177</v>
      </c>
      <c r="K37">
        <f t="shared" si="15"/>
        <v>36</v>
      </c>
      <c r="L37" s="1">
        <f t="shared" si="16"/>
        <v>45537</v>
      </c>
      <c r="M37" s="1">
        <f t="shared" si="17"/>
        <v>45541</v>
      </c>
      <c r="O37">
        <f t="shared" si="8"/>
        <v>36</v>
      </c>
      <c r="P37" s="1">
        <f t="shared" si="13"/>
        <v>45901</v>
      </c>
      <c r="Q37" s="1">
        <f t="shared" si="9"/>
        <v>45905</v>
      </c>
      <c r="S37">
        <f t="shared" si="10"/>
        <v>36</v>
      </c>
      <c r="T37" s="1">
        <f t="shared" si="14"/>
        <v>46265</v>
      </c>
      <c r="U37" s="1">
        <f t="shared" si="11"/>
        <v>46269</v>
      </c>
    </row>
    <row r="38" spans="3:21" x14ac:dyDescent="0.25">
      <c r="C38">
        <f t="shared" si="4"/>
        <v>37</v>
      </c>
      <c r="D38" s="1">
        <f t="shared" si="12"/>
        <v>44816</v>
      </c>
      <c r="E38" s="1">
        <f t="shared" si="5"/>
        <v>44820</v>
      </c>
      <c r="G38">
        <f t="shared" si="18"/>
        <v>37</v>
      </c>
      <c r="H38" s="1">
        <f t="shared" si="20"/>
        <v>45180</v>
      </c>
      <c r="I38" s="1">
        <f t="shared" si="19"/>
        <v>45184</v>
      </c>
      <c r="K38">
        <f t="shared" si="15"/>
        <v>37</v>
      </c>
      <c r="L38" s="1">
        <f t="shared" si="16"/>
        <v>45544</v>
      </c>
      <c r="M38" s="1">
        <f t="shared" si="17"/>
        <v>45548</v>
      </c>
      <c r="O38">
        <f t="shared" si="8"/>
        <v>37</v>
      </c>
      <c r="P38" s="1">
        <f t="shared" si="13"/>
        <v>45908</v>
      </c>
      <c r="Q38" s="1">
        <f t="shared" si="9"/>
        <v>45912</v>
      </c>
      <c r="S38">
        <f t="shared" si="10"/>
        <v>37</v>
      </c>
      <c r="T38" s="1">
        <f t="shared" si="14"/>
        <v>46272</v>
      </c>
      <c r="U38" s="1">
        <f t="shared" si="11"/>
        <v>46276</v>
      </c>
    </row>
    <row r="39" spans="3:21" x14ac:dyDescent="0.25">
      <c r="C39">
        <f t="shared" si="4"/>
        <v>38</v>
      </c>
      <c r="D39" s="1">
        <f t="shared" si="12"/>
        <v>44823</v>
      </c>
      <c r="E39" s="1">
        <f t="shared" si="5"/>
        <v>44827</v>
      </c>
      <c r="G39">
        <f t="shared" si="18"/>
        <v>38</v>
      </c>
      <c r="H39" s="1">
        <f t="shared" si="20"/>
        <v>45187</v>
      </c>
      <c r="I39" s="1">
        <f t="shared" si="19"/>
        <v>45191</v>
      </c>
      <c r="K39">
        <f t="shared" si="15"/>
        <v>38</v>
      </c>
      <c r="L39" s="1">
        <f t="shared" si="16"/>
        <v>45551</v>
      </c>
      <c r="M39" s="1">
        <f t="shared" si="17"/>
        <v>45555</v>
      </c>
      <c r="O39">
        <f t="shared" si="8"/>
        <v>38</v>
      </c>
      <c r="P39" s="1">
        <f t="shared" si="13"/>
        <v>45915</v>
      </c>
      <c r="Q39" s="1">
        <f t="shared" si="9"/>
        <v>45919</v>
      </c>
      <c r="S39">
        <f t="shared" si="10"/>
        <v>38</v>
      </c>
      <c r="T39" s="1">
        <f t="shared" si="14"/>
        <v>46279</v>
      </c>
      <c r="U39" s="1">
        <f t="shared" si="11"/>
        <v>46283</v>
      </c>
    </row>
    <row r="40" spans="3:21" x14ac:dyDescent="0.25">
      <c r="C40">
        <f t="shared" si="4"/>
        <v>39</v>
      </c>
      <c r="D40" s="1">
        <f t="shared" si="12"/>
        <v>44830</v>
      </c>
      <c r="E40" s="1">
        <f t="shared" si="5"/>
        <v>44834</v>
      </c>
      <c r="G40">
        <f t="shared" si="18"/>
        <v>39</v>
      </c>
      <c r="H40" s="1">
        <f t="shared" si="20"/>
        <v>45194</v>
      </c>
      <c r="I40" s="1">
        <f t="shared" si="19"/>
        <v>45198</v>
      </c>
      <c r="K40">
        <f t="shared" si="15"/>
        <v>39</v>
      </c>
      <c r="L40" s="1">
        <f t="shared" si="16"/>
        <v>45558</v>
      </c>
      <c r="M40" s="1">
        <f t="shared" si="17"/>
        <v>45562</v>
      </c>
      <c r="O40">
        <f t="shared" si="8"/>
        <v>39</v>
      </c>
      <c r="P40" s="1">
        <f t="shared" si="13"/>
        <v>45922</v>
      </c>
      <c r="Q40" s="1">
        <f t="shared" si="9"/>
        <v>45926</v>
      </c>
      <c r="S40">
        <f t="shared" si="10"/>
        <v>39</v>
      </c>
      <c r="T40" s="1">
        <f t="shared" si="14"/>
        <v>46286</v>
      </c>
      <c r="U40" s="1">
        <f t="shared" si="11"/>
        <v>46290</v>
      </c>
    </row>
    <row r="41" spans="3:21" x14ac:dyDescent="0.25">
      <c r="C41">
        <f t="shared" si="4"/>
        <v>40</v>
      </c>
      <c r="D41" s="1">
        <f t="shared" si="12"/>
        <v>44837</v>
      </c>
      <c r="E41" s="1">
        <f t="shared" si="5"/>
        <v>44841</v>
      </c>
      <c r="G41">
        <f t="shared" si="18"/>
        <v>40</v>
      </c>
      <c r="H41" s="1">
        <f t="shared" si="20"/>
        <v>45201</v>
      </c>
      <c r="I41" s="1">
        <f t="shared" si="19"/>
        <v>45205</v>
      </c>
      <c r="K41">
        <f t="shared" si="15"/>
        <v>40</v>
      </c>
      <c r="L41" s="1">
        <f t="shared" si="16"/>
        <v>45565</v>
      </c>
      <c r="M41" s="1">
        <f t="shared" si="17"/>
        <v>45569</v>
      </c>
      <c r="O41">
        <f t="shared" si="8"/>
        <v>40</v>
      </c>
      <c r="P41" s="1">
        <f t="shared" si="13"/>
        <v>45929</v>
      </c>
      <c r="Q41" s="1">
        <f t="shared" si="9"/>
        <v>45933</v>
      </c>
      <c r="S41">
        <f t="shared" si="10"/>
        <v>40</v>
      </c>
      <c r="T41" s="1">
        <f t="shared" si="14"/>
        <v>46293</v>
      </c>
      <c r="U41" s="1">
        <f t="shared" si="11"/>
        <v>46297</v>
      </c>
    </row>
    <row r="42" spans="3:21" x14ac:dyDescent="0.25">
      <c r="C42">
        <f t="shared" si="4"/>
        <v>41</v>
      </c>
      <c r="D42" s="1">
        <f t="shared" si="12"/>
        <v>44844</v>
      </c>
      <c r="E42" s="1">
        <f t="shared" si="5"/>
        <v>44848</v>
      </c>
      <c r="G42">
        <f t="shared" si="18"/>
        <v>41</v>
      </c>
      <c r="H42" s="1">
        <f t="shared" si="20"/>
        <v>45208</v>
      </c>
      <c r="I42" s="1">
        <f t="shared" si="19"/>
        <v>45212</v>
      </c>
      <c r="K42">
        <f t="shared" si="15"/>
        <v>41</v>
      </c>
      <c r="L42" s="1">
        <f t="shared" si="16"/>
        <v>45572</v>
      </c>
      <c r="M42" s="1">
        <f t="shared" si="17"/>
        <v>45576</v>
      </c>
      <c r="O42">
        <f t="shared" si="8"/>
        <v>41</v>
      </c>
      <c r="P42" s="1">
        <f t="shared" si="13"/>
        <v>45936</v>
      </c>
      <c r="Q42" s="1">
        <f t="shared" si="9"/>
        <v>45940</v>
      </c>
      <c r="S42">
        <f t="shared" si="10"/>
        <v>41</v>
      </c>
      <c r="T42" s="1">
        <f t="shared" si="14"/>
        <v>46300</v>
      </c>
      <c r="U42" s="1">
        <f t="shared" si="11"/>
        <v>46304</v>
      </c>
    </row>
    <row r="43" spans="3:21" x14ac:dyDescent="0.25">
      <c r="C43">
        <f t="shared" si="4"/>
        <v>42</v>
      </c>
      <c r="D43" s="1">
        <f t="shared" si="12"/>
        <v>44851</v>
      </c>
      <c r="E43" s="1">
        <f t="shared" si="5"/>
        <v>44855</v>
      </c>
      <c r="G43">
        <f t="shared" si="18"/>
        <v>42</v>
      </c>
      <c r="H43" s="1">
        <f t="shared" si="20"/>
        <v>45215</v>
      </c>
      <c r="I43" s="1">
        <f t="shared" si="19"/>
        <v>45219</v>
      </c>
      <c r="K43">
        <f t="shared" si="15"/>
        <v>42</v>
      </c>
      <c r="L43" s="1">
        <f t="shared" si="16"/>
        <v>45579</v>
      </c>
      <c r="M43" s="1">
        <f t="shared" si="17"/>
        <v>45583</v>
      </c>
      <c r="O43">
        <f t="shared" si="8"/>
        <v>42</v>
      </c>
      <c r="P43" s="1">
        <f t="shared" si="13"/>
        <v>45943</v>
      </c>
      <c r="Q43" s="1">
        <f t="shared" si="9"/>
        <v>45947</v>
      </c>
      <c r="S43">
        <f t="shared" si="10"/>
        <v>42</v>
      </c>
      <c r="T43" s="1">
        <f t="shared" si="14"/>
        <v>46307</v>
      </c>
      <c r="U43" s="1">
        <f t="shared" si="11"/>
        <v>46311</v>
      </c>
    </row>
    <row r="44" spans="3:21" x14ac:dyDescent="0.25">
      <c r="C44">
        <f t="shared" si="4"/>
        <v>43</v>
      </c>
      <c r="D44" s="1">
        <f t="shared" si="12"/>
        <v>44858</v>
      </c>
      <c r="E44" s="1">
        <f t="shared" si="5"/>
        <v>44862</v>
      </c>
      <c r="G44">
        <f t="shared" si="18"/>
        <v>43</v>
      </c>
      <c r="H44" s="1">
        <f t="shared" si="20"/>
        <v>45222</v>
      </c>
      <c r="I44" s="1">
        <f t="shared" si="19"/>
        <v>45226</v>
      </c>
      <c r="K44">
        <f t="shared" si="15"/>
        <v>43</v>
      </c>
      <c r="L44" s="1">
        <f t="shared" si="16"/>
        <v>45586</v>
      </c>
      <c r="M44" s="1">
        <f t="shared" si="17"/>
        <v>45590</v>
      </c>
      <c r="O44">
        <f t="shared" si="8"/>
        <v>43</v>
      </c>
      <c r="P44" s="1">
        <f t="shared" si="13"/>
        <v>45950</v>
      </c>
      <c r="Q44" s="1">
        <f t="shared" si="9"/>
        <v>45954</v>
      </c>
      <c r="S44">
        <f t="shared" si="10"/>
        <v>43</v>
      </c>
      <c r="T44" s="1">
        <f t="shared" si="14"/>
        <v>46314</v>
      </c>
      <c r="U44" s="1">
        <f t="shared" si="11"/>
        <v>46318</v>
      </c>
    </row>
    <row r="45" spans="3:21" x14ac:dyDescent="0.25">
      <c r="C45">
        <f t="shared" si="4"/>
        <v>44</v>
      </c>
      <c r="D45" s="1">
        <f t="shared" si="12"/>
        <v>44865</v>
      </c>
      <c r="E45" s="1">
        <f t="shared" si="5"/>
        <v>44869</v>
      </c>
      <c r="G45">
        <f t="shared" si="18"/>
        <v>44</v>
      </c>
      <c r="H45" s="1">
        <f t="shared" si="20"/>
        <v>45229</v>
      </c>
      <c r="I45" s="1">
        <f t="shared" si="19"/>
        <v>45233</v>
      </c>
      <c r="K45">
        <f t="shared" si="15"/>
        <v>44</v>
      </c>
      <c r="L45" s="1">
        <f t="shared" si="16"/>
        <v>45593</v>
      </c>
      <c r="M45" s="1">
        <f t="shared" si="17"/>
        <v>45597</v>
      </c>
      <c r="O45">
        <f t="shared" si="8"/>
        <v>44</v>
      </c>
      <c r="P45" s="1">
        <f t="shared" si="13"/>
        <v>45957</v>
      </c>
      <c r="Q45" s="1">
        <f t="shared" si="9"/>
        <v>45961</v>
      </c>
      <c r="S45">
        <f t="shared" si="10"/>
        <v>44</v>
      </c>
      <c r="T45" s="1">
        <f t="shared" si="14"/>
        <v>46321</v>
      </c>
      <c r="U45" s="1">
        <f t="shared" si="11"/>
        <v>46325</v>
      </c>
    </row>
    <row r="46" spans="3:21" x14ac:dyDescent="0.25">
      <c r="C46">
        <f t="shared" si="4"/>
        <v>45</v>
      </c>
      <c r="D46" s="1">
        <f t="shared" si="12"/>
        <v>44872</v>
      </c>
      <c r="E46" s="1">
        <f t="shared" si="5"/>
        <v>44876</v>
      </c>
      <c r="G46">
        <f t="shared" si="18"/>
        <v>45</v>
      </c>
      <c r="H46" s="1">
        <f t="shared" si="20"/>
        <v>45236</v>
      </c>
      <c r="I46" s="1">
        <f t="shared" si="19"/>
        <v>45240</v>
      </c>
      <c r="K46">
        <f t="shared" si="15"/>
        <v>45</v>
      </c>
      <c r="L46" s="1">
        <f t="shared" si="16"/>
        <v>45600</v>
      </c>
      <c r="M46" s="1">
        <f t="shared" si="17"/>
        <v>45604</v>
      </c>
      <c r="O46">
        <f t="shared" si="8"/>
        <v>45</v>
      </c>
      <c r="P46" s="1">
        <f t="shared" si="13"/>
        <v>45964</v>
      </c>
      <c r="Q46" s="1">
        <f t="shared" si="9"/>
        <v>45968</v>
      </c>
      <c r="S46">
        <f t="shared" si="10"/>
        <v>45</v>
      </c>
      <c r="T46" s="1">
        <f t="shared" si="14"/>
        <v>46328</v>
      </c>
      <c r="U46" s="1">
        <f t="shared" si="11"/>
        <v>46332</v>
      </c>
    </row>
    <row r="47" spans="3:21" x14ac:dyDescent="0.25">
      <c r="C47">
        <f t="shared" si="4"/>
        <v>46</v>
      </c>
      <c r="D47" s="1">
        <f t="shared" si="12"/>
        <v>44879</v>
      </c>
      <c r="E47" s="1">
        <f t="shared" si="5"/>
        <v>44883</v>
      </c>
      <c r="G47">
        <f t="shared" si="18"/>
        <v>46</v>
      </c>
      <c r="H47" s="1">
        <f t="shared" si="20"/>
        <v>45243</v>
      </c>
      <c r="I47" s="1">
        <f t="shared" si="19"/>
        <v>45247</v>
      </c>
      <c r="K47">
        <f t="shared" si="15"/>
        <v>46</v>
      </c>
      <c r="L47" s="1">
        <f t="shared" si="16"/>
        <v>45607</v>
      </c>
      <c r="M47" s="1">
        <f t="shared" si="17"/>
        <v>45611</v>
      </c>
      <c r="O47">
        <f t="shared" si="8"/>
        <v>46</v>
      </c>
      <c r="P47" s="1">
        <f t="shared" si="13"/>
        <v>45971</v>
      </c>
      <c r="Q47" s="1">
        <f t="shared" si="9"/>
        <v>45975</v>
      </c>
      <c r="S47">
        <f t="shared" si="10"/>
        <v>46</v>
      </c>
      <c r="T47" s="1">
        <f t="shared" si="14"/>
        <v>46335</v>
      </c>
      <c r="U47" s="1">
        <f t="shared" si="11"/>
        <v>46339</v>
      </c>
    </row>
    <row r="48" spans="3:21" x14ac:dyDescent="0.25">
      <c r="C48">
        <f t="shared" si="4"/>
        <v>47</v>
      </c>
      <c r="D48" s="1">
        <f t="shared" si="12"/>
        <v>44886</v>
      </c>
      <c r="E48" s="1">
        <f t="shared" si="5"/>
        <v>44890</v>
      </c>
      <c r="G48">
        <f t="shared" si="18"/>
        <v>47</v>
      </c>
      <c r="H48" s="1">
        <f t="shared" si="20"/>
        <v>45250</v>
      </c>
      <c r="I48" s="1">
        <f t="shared" si="19"/>
        <v>45254</v>
      </c>
      <c r="K48">
        <f t="shared" si="15"/>
        <v>47</v>
      </c>
      <c r="L48" s="1">
        <f t="shared" si="16"/>
        <v>45614</v>
      </c>
      <c r="M48" s="1">
        <f t="shared" si="17"/>
        <v>45618</v>
      </c>
      <c r="O48">
        <f t="shared" si="8"/>
        <v>47</v>
      </c>
      <c r="P48" s="1">
        <f t="shared" si="13"/>
        <v>45978</v>
      </c>
      <c r="Q48" s="1">
        <f t="shared" si="9"/>
        <v>45982</v>
      </c>
      <c r="S48">
        <f t="shared" si="10"/>
        <v>47</v>
      </c>
      <c r="T48" s="1">
        <f t="shared" si="14"/>
        <v>46342</v>
      </c>
      <c r="U48" s="1">
        <f t="shared" si="11"/>
        <v>46346</v>
      </c>
    </row>
    <row r="49" spans="3:21" x14ac:dyDescent="0.25">
      <c r="C49">
        <f t="shared" si="4"/>
        <v>48</v>
      </c>
      <c r="D49" s="1">
        <f t="shared" si="12"/>
        <v>44893</v>
      </c>
      <c r="E49" s="1">
        <f t="shared" si="5"/>
        <v>44897</v>
      </c>
      <c r="G49">
        <f t="shared" si="18"/>
        <v>48</v>
      </c>
      <c r="H49" s="1">
        <f t="shared" si="20"/>
        <v>45257</v>
      </c>
      <c r="I49" s="1">
        <f t="shared" si="19"/>
        <v>45261</v>
      </c>
      <c r="K49">
        <f t="shared" si="15"/>
        <v>48</v>
      </c>
      <c r="L49" s="1">
        <f t="shared" si="16"/>
        <v>45621</v>
      </c>
      <c r="M49" s="1">
        <f t="shared" si="17"/>
        <v>45625</v>
      </c>
      <c r="O49">
        <f t="shared" si="8"/>
        <v>48</v>
      </c>
      <c r="P49" s="1">
        <f t="shared" si="13"/>
        <v>45985</v>
      </c>
      <c r="Q49" s="1">
        <f t="shared" si="9"/>
        <v>45989</v>
      </c>
      <c r="S49">
        <f t="shared" si="10"/>
        <v>48</v>
      </c>
      <c r="T49" s="1">
        <f t="shared" si="14"/>
        <v>46349</v>
      </c>
      <c r="U49" s="1">
        <f t="shared" si="11"/>
        <v>46353</v>
      </c>
    </row>
    <row r="50" spans="3:21" x14ac:dyDescent="0.25">
      <c r="C50">
        <f t="shared" si="4"/>
        <v>49</v>
      </c>
      <c r="D50" s="1">
        <f t="shared" si="12"/>
        <v>44900</v>
      </c>
      <c r="E50" s="1">
        <f t="shared" si="5"/>
        <v>44904</v>
      </c>
      <c r="G50">
        <f t="shared" si="18"/>
        <v>49</v>
      </c>
      <c r="H50" s="1">
        <f t="shared" si="20"/>
        <v>45264</v>
      </c>
      <c r="I50" s="1">
        <f t="shared" si="19"/>
        <v>45268</v>
      </c>
      <c r="K50">
        <f t="shared" si="15"/>
        <v>49</v>
      </c>
      <c r="L50" s="1">
        <f t="shared" si="16"/>
        <v>45628</v>
      </c>
      <c r="M50" s="1">
        <f t="shared" si="17"/>
        <v>45632</v>
      </c>
      <c r="O50">
        <f t="shared" si="8"/>
        <v>49</v>
      </c>
      <c r="P50" s="1">
        <f t="shared" si="13"/>
        <v>45992</v>
      </c>
      <c r="Q50" s="1">
        <f t="shared" si="9"/>
        <v>45996</v>
      </c>
      <c r="S50">
        <f t="shared" si="10"/>
        <v>49</v>
      </c>
      <c r="T50" s="1">
        <f t="shared" si="14"/>
        <v>46356</v>
      </c>
      <c r="U50" s="1">
        <f t="shared" si="11"/>
        <v>46360</v>
      </c>
    </row>
    <row r="51" spans="3:21" x14ac:dyDescent="0.25">
      <c r="C51">
        <f t="shared" si="4"/>
        <v>50</v>
      </c>
      <c r="D51" s="1">
        <f t="shared" si="12"/>
        <v>44907</v>
      </c>
      <c r="E51" s="1">
        <f t="shared" si="5"/>
        <v>44911</v>
      </c>
      <c r="G51">
        <f t="shared" si="18"/>
        <v>50</v>
      </c>
      <c r="H51" s="1">
        <f t="shared" si="20"/>
        <v>45271</v>
      </c>
      <c r="I51" s="1">
        <f t="shared" si="19"/>
        <v>45275</v>
      </c>
      <c r="K51">
        <f t="shared" si="15"/>
        <v>50</v>
      </c>
      <c r="L51" s="1">
        <f t="shared" si="16"/>
        <v>45635</v>
      </c>
      <c r="M51" s="1">
        <f t="shared" si="17"/>
        <v>45639</v>
      </c>
      <c r="O51">
        <f t="shared" si="8"/>
        <v>50</v>
      </c>
      <c r="P51" s="1">
        <f t="shared" si="13"/>
        <v>45999</v>
      </c>
      <c r="Q51" s="1">
        <f t="shared" si="9"/>
        <v>46003</v>
      </c>
      <c r="S51">
        <f t="shared" si="10"/>
        <v>50</v>
      </c>
      <c r="T51" s="1">
        <f t="shared" si="14"/>
        <v>46363</v>
      </c>
      <c r="U51" s="1">
        <f t="shared" si="11"/>
        <v>46367</v>
      </c>
    </row>
    <row r="52" spans="3:21" x14ac:dyDescent="0.25">
      <c r="C52">
        <f t="shared" si="4"/>
        <v>51</v>
      </c>
      <c r="D52" s="1">
        <f t="shared" si="12"/>
        <v>44914</v>
      </c>
      <c r="E52" s="1">
        <f t="shared" si="5"/>
        <v>44918</v>
      </c>
      <c r="G52">
        <f t="shared" si="18"/>
        <v>51</v>
      </c>
      <c r="H52" s="1">
        <f t="shared" si="20"/>
        <v>45278</v>
      </c>
      <c r="I52" s="1">
        <f t="shared" si="19"/>
        <v>45282</v>
      </c>
      <c r="K52">
        <f t="shared" si="15"/>
        <v>51</v>
      </c>
      <c r="L52" s="1">
        <f t="shared" si="16"/>
        <v>45642</v>
      </c>
      <c r="M52" s="1">
        <f t="shared" si="17"/>
        <v>45646</v>
      </c>
      <c r="O52">
        <f t="shared" si="8"/>
        <v>51</v>
      </c>
      <c r="P52" s="1">
        <f t="shared" si="13"/>
        <v>46006</v>
      </c>
      <c r="Q52" s="1">
        <f t="shared" si="9"/>
        <v>46010</v>
      </c>
      <c r="S52">
        <f t="shared" si="10"/>
        <v>51</v>
      </c>
      <c r="T52" s="1">
        <f t="shared" si="14"/>
        <v>46370</v>
      </c>
      <c r="U52" s="1">
        <f t="shared" si="11"/>
        <v>46374</v>
      </c>
    </row>
    <row r="53" spans="3:21" x14ac:dyDescent="0.25">
      <c r="C53">
        <f t="shared" si="4"/>
        <v>52</v>
      </c>
      <c r="D53" s="1">
        <f t="shared" si="12"/>
        <v>44921</v>
      </c>
      <c r="E53" s="1">
        <f t="shared" si="5"/>
        <v>44925</v>
      </c>
      <c r="G53">
        <f t="shared" si="18"/>
        <v>52</v>
      </c>
      <c r="H53" s="1">
        <f t="shared" si="20"/>
        <v>45285</v>
      </c>
      <c r="I53" s="1">
        <f t="shared" si="19"/>
        <v>45289</v>
      </c>
      <c r="K53">
        <f t="shared" si="15"/>
        <v>52</v>
      </c>
      <c r="L53" s="1">
        <f t="shared" si="16"/>
        <v>45649</v>
      </c>
      <c r="M53" s="1">
        <f t="shared" si="17"/>
        <v>45653</v>
      </c>
      <c r="O53">
        <f t="shared" si="8"/>
        <v>52</v>
      </c>
      <c r="P53" s="1">
        <f t="shared" si="13"/>
        <v>46013</v>
      </c>
      <c r="Q53" s="1">
        <f t="shared" si="9"/>
        <v>46017</v>
      </c>
      <c r="S53">
        <f t="shared" si="10"/>
        <v>52</v>
      </c>
      <c r="T53" s="1">
        <f t="shared" si="14"/>
        <v>46377</v>
      </c>
      <c r="U53" s="1">
        <f t="shared" si="11"/>
        <v>46381</v>
      </c>
    </row>
    <row r="54" spans="3:21" x14ac:dyDescent="0.25">
      <c r="L54" s="1"/>
      <c r="M54" s="1"/>
      <c r="P54" s="1"/>
      <c r="S54">
        <f t="shared" si="10"/>
        <v>53</v>
      </c>
      <c r="T54" s="1">
        <f t="shared" si="14"/>
        <v>46384</v>
      </c>
      <c r="U54" s="1">
        <f t="shared" si="11"/>
        <v>46388</v>
      </c>
    </row>
  </sheetData>
  <phoneticPr fontId="1" type="noConversion"/>
  <dataValidations count="3">
    <dataValidation type="list" allowBlank="1" showInputMessage="1" showErrorMessage="1" sqref="B4" xr:uid="{CBC91D90-6CE6-4552-9ADE-63A662484E7C}">
      <formula1>$C:$C</formula1>
    </dataValidation>
    <dataValidation type="list" allowBlank="1" showInputMessage="1" showErrorMessage="1" sqref="B1" xr:uid="{99514A6B-A892-4CD5-97E4-5746D016F566}">
      <formula1>$Z:$Z</formula1>
    </dataValidation>
    <dataValidation type="list" allowBlank="1" showInputMessage="1" showErrorMessage="1" sqref="B2" xr:uid="{A64ACE79-E6BC-412A-AFA2-0BCDB5917203}">
      <formula1>$K:$K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1">
          <controlPr defaultSize="0" autoLine="0" r:id="rId4">
            <anchor moveWithCells="1">
              <from>
                <xdr:col>0</xdr:col>
                <xdr:colOff>257175</xdr:colOff>
                <xdr:row>5</xdr:row>
                <xdr:rowOff>133350</xdr:rowOff>
              </from>
              <to>
                <xdr:col>0</xdr:col>
                <xdr:colOff>1171575</xdr:colOff>
                <xdr:row>7</xdr:row>
                <xdr:rowOff>57150</xdr:rowOff>
              </to>
            </anchor>
          </controlPr>
        </control>
      </mc:Choice>
      <mc:Fallback>
        <control shapeId="205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DE3-3DAB-484E-A466-69FE38AD09F1}">
  <sheetPr codeName="Tabelle3"/>
  <dimension ref="A1:F6"/>
  <sheetViews>
    <sheetView workbookViewId="0">
      <selection activeCell="A11" sqref="A11"/>
    </sheetView>
  </sheetViews>
  <sheetFormatPr baseColWidth="10" defaultRowHeight="15" x14ac:dyDescent="0.25"/>
  <cols>
    <col min="2" max="2" width="13.28515625" customWidth="1"/>
    <col min="4" max="4" width="15.140625" customWidth="1"/>
    <col min="5" max="6" width="12.5703125" customWidth="1"/>
  </cols>
  <sheetData>
    <row r="1" spans="1:6" x14ac:dyDescent="0.25">
      <c r="A1" t="s">
        <v>27</v>
      </c>
      <c r="B1" t="s">
        <v>28</v>
      </c>
      <c r="C1" t="s">
        <v>29</v>
      </c>
      <c r="D1" t="s">
        <v>30</v>
      </c>
      <c r="E1" t="s">
        <v>26</v>
      </c>
      <c r="F1" t="s">
        <v>31</v>
      </c>
    </row>
    <row r="2" spans="1:6" x14ac:dyDescent="0.25">
      <c r="A2" t="s">
        <v>6</v>
      </c>
      <c r="B2" s="85">
        <v>0.41666666666666669</v>
      </c>
      <c r="C2" s="85">
        <v>0.5</v>
      </c>
      <c r="D2" t="s">
        <v>36</v>
      </c>
      <c r="E2" t="s">
        <v>19</v>
      </c>
      <c r="F2" t="s">
        <v>32</v>
      </c>
    </row>
    <row r="3" spans="1:6" x14ac:dyDescent="0.25">
      <c r="A3" t="s">
        <v>12</v>
      </c>
      <c r="B3" s="85">
        <v>0.41666666666666669</v>
      </c>
      <c r="C3" s="85">
        <v>0.5</v>
      </c>
      <c r="D3" t="s">
        <v>37</v>
      </c>
      <c r="E3" t="s">
        <v>38</v>
      </c>
      <c r="F3" t="s">
        <v>32</v>
      </c>
    </row>
    <row r="4" spans="1:6" x14ac:dyDescent="0.25">
      <c r="A4" t="s">
        <v>12</v>
      </c>
      <c r="B4" s="85">
        <v>0.41666666666666669</v>
      </c>
      <c r="C4" s="85">
        <v>0.5</v>
      </c>
      <c r="D4" t="s">
        <v>41</v>
      </c>
      <c r="E4" t="s">
        <v>22</v>
      </c>
      <c r="F4" t="s">
        <v>39</v>
      </c>
    </row>
    <row r="5" spans="1:6" x14ac:dyDescent="0.25">
      <c r="A5" t="s">
        <v>7</v>
      </c>
      <c r="B5" s="85">
        <v>0.54166666666666663</v>
      </c>
      <c r="C5" s="85">
        <v>0.625</v>
      </c>
      <c r="D5" t="s">
        <v>40</v>
      </c>
      <c r="E5" t="s">
        <v>38</v>
      </c>
      <c r="F5" t="s">
        <v>10</v>
      </c>
    </row>
    <row r="6" spans="1:6" x14ac:dyDescent="0.25">
      <c r="A6" t="s">
        <v>42</v>
      </c>
      <c r="B6" s="85">
        <v>0.70833333333333337</v>
      </c>
      <c r="C6" s="85">
        <v>0.79166666666666663</v>
      </c>
      <c r="D6" t="s">
        <v>36</v>
      </c>
      <c r="E6" t="s">
        <v>38</v>
      </c>
      <c r="F6" t="s">
        <v>32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55DF1-D641-420A-80BD-CE4449E57C47}">
  <sheetPr codeName="Tabelle4"/>
  <dimension ref="A1:B7"/>
  <sheetViews>
    <sheetView workbookViewId="0">
      <selection activeCell="B2" sqref="B2"/>
    </sheetView>
  </sheetViews>
  <sheetFormatPr baseColWidth="10" defaultRowHeight="15" x14ac:dyDescent="0.25"/>
  <cols>
    <col min="1" max="1" width="15" customWidth="1"/>
    <col min="2" max="2" width="28" customWidth="1"/>
  </cols>
  <sheetData>
    <row r="1" spans="1:2" x14ac:dyDescent="0.25">
      <c r="A1" s="2" t="s">
        <v>25</v>
      </c>
      <c r="B1" s="2" t="s">
        <v>26</v>
      </c>
    </row>
    <row r="2" spans="1:2" x14ac:dyDescent="0.25">
      <c r="A2" t="s">
        <v>15</v>
      </c>
      <c r="B2" t="s">
        <v>34</v>
      </c>
    </row>
    <row r="3" spans="1:2" x14ac:dyDescent="0.25">
      <c r="A3" t="s">
        <v>23</v>
      </c>
      <c r="B3" t="s">
        <v>21</v>
      </c>
    </row>
    <row r="4" spans="1:2" x14ac:dyDescent="0.25">
      <c r="A4" t="s">
        <v>17</v>
      </c>
      <c r="B4" t="s">
        <v>18</v>
      </c>
    </row>
    <row r="5" spans="1:2" x14ac:dyDescent="0.25">
      <c r="A5" t="s">
        <v>33</v>
      </c>
      <c r="B5" t="s">
        <v>35</v>
      </c>
    </row>
    <row r="6" spans="1:2" x14ac:dyDescent="0.25">
      <c r="A6" t="s">
        <v>20</v>
      </c>
      <c r="B6" t="s">
        <v>21</v>
      </c>
    </row>
    <row r="7" spans="1:2" x14ac:dyDescent="0.25">
      <c r="A7" t="s">
        <v>16</v>
      </c>
      <c r="B7" t="s">
        <v>18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Tabelle1</vt:lpstr>
      <vt:lpstr>Tabelle2</vt:lpstr>
      <vt:lpstr>Sprechstundenliste</vt:lpstr>
      <vt:lpstr>Tutorinnen</vt:lpstr>
      <vt:lpstr>DynamicList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lenas</dc:creator>
  <cp:lastModifiedBy>Lena</cp:lastModifiedBy>
  <cp:lastPrinted>2022-12-21T12:33:19Z</cp:lastPrinted>
  <dcterms:created xsi:type="dcterms:W3CDTF">2022-12-07T12:01:11Z</dcterms:created>
  <dcterms:modified xsi:type="dcterms:W3CDTF">2023-02-20T13:15:42Z</dcterms:modified>
</cp:coreProperties>
</file>